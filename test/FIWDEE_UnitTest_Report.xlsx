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39F5FABA-9899-4CB5-88FC-DF6ACEA46236}" xr6:coauthVersionLast="47" xr6:coauthVersionMax="47" xr10:uidLastSave="{00000000-0000-0000-0000-000000000000}"/>
  <bookViews>
    <workbookView xWindow="-120" yWindow="-120" windowWidth="29040" windowHeight="15720" firstSheet="1" activeTab="5" xr2:uid="{9B0ECA1C-B255-4EEE-B7A8-035645CFC3D9}"/>
  </bookViews>
  <sheets>
    <sheet name="Test Summary" sheetId="1" r:id="rId1"/>
    <sheet name="UT01_CreateBooking_EC" sheetId="2" r:id="rId2"/>
    <sheet name="UT02_CreateBooking_DT" sheetId="3" r:id="rId3"/>
    <sheet name="UT03_CreateBooking_Time_BVA" sheetId="5" r:id="rId4"/>
    <sheet name="UT04_Overlap_Buffer_BVA" sheetId="6" r:id="rId5"/>
    <sheet name="UT05_CancelBooking_DT" sheetId="7" r:id="rId6"/>
    <sheet name="Defect Summary" sheetId="4" r:id="rId7"/>
  </sheets>
  <externalReferences>
    <externalReference r:id="rId8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9" i="1" l="1" a="1"/>
  <c r="D9" i="1" a="1"/>
  <c r="F9" i="1" a="1"/>
  <c r="E9" i="1" a="1"/>
  <c r="H8" i="1"/>
  <c r="G8" i="1"/>
  <c r="D8" i="1"/>
  <c r="F8" i="1"/>
  <c r="E8" i="1"/>
  <c r="H7" i="1"/>
  <c r="G7" i="1"/>
  <c r="F7" i="1"/>
  <c r="E7" i="1"/>
  <c r="D7" i="1"/>
  <c r="H6" i="1"/>
  <c r="G6" i="1"/>
  <c r="D6" i="1"/>
  <c r="E6" i="1"/>
  <c r="F6" i="1"/>
  <c r="E5" i="1"/>
  <c r="D5" i="1"/>
  <c r="H4" i="1"/>
  <c r="G4" i="1"/>
  <c r="F4" i="1"/>
  <c r="E4" i="1"/>
  <c r="D4" i="1"/>
  <c r="G5" i="1"/>
  <c r="F5" i="1"/>
  <c r="H5" i="1"/>
  <c r="H9" i="1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<sst xmlns="http://schemas.openxmlformats.org/spreadsheetml/2006/main" count="1013" uniqueCount="455">
  <si>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</si>
  <si>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</si>
  <si>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</si>
  <si>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</si>
  <si>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</si>
  <si>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</si>
  <si>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</si>
  <si>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</si>
  <si>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</si>
  <si>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</si>
  <si>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</si>
  <si>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</si>
  <si>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</si>
  <si>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</si>
  <si>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</si>
  <si>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</si>
  <si>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</si>
  <si>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</si>
  <si>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</si>
  <si>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</si>
  <si>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</si>
  <si>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</si>
  <si>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</si>
  <si>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</si>
  <si>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</si>
  <si>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</si>
  <si>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</si>
  <si>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</si>
  <si>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</si>
  <si>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</si>
  <si>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</si>
  <si>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</si>
  <si>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</si>
  <si>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</si>
  <si>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</si>
  <si>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</si>
  <si>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</si>
  <si>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</si>
  <si>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</si>
  <si>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</si>
  <si>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</si>
  <si>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</si>
  <si>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</si>
  <si>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</si>
  <si>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</si>
  <si>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</si>
  <si>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</si>
  <si>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</si>
  <si>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</si>
  <si>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</si>
  <si>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</si>
  <si>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</si>
  <si>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</si>
  <si>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</si>
  <si>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</si>
  <si>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</si>
  <si>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</si>
  <si>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</si>
  <si>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</si>
  <si>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</si>
  <si>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</si>
  <si>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</si>
  <si>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</si>
  <si>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</si>
  <si>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</si>
  <si>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</si>
  <si>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</si>
  <si>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</si>
  <si>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</si>
  <si>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</si>
  <si>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</si>
  <si>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</si>
  <si>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</si>
  <si>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</si>
  <si>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</si>
  <si>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</si>
  <si>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</si>
  <si>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</si>
  <si>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</si>
  <si>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</si>
  <si>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</si>
  <si>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</si>
  <si>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</si>
  <si>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</si>
  <si>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</si>
  <si>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</si>
  <si>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</si>
  <si>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</si>
  <si>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</si>
  <si>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</si>
  <si>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</si>
  <si>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</si>
  <si>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</si>
  <si>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</si>
  <si>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</si>
  <si>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</si>
  <si>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</si>
  <si>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</si>
  <si>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</si>
  <si>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</si>
  <si>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</si>
  <si>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</si>
  <si>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</si>
  <si>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</si>
  <si>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</si>
  <si>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</si>
  <si>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</si>
  <si>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</si>
  <si>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</si>
  <si>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</si>
  <si>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</si>
  <si>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</si>
  <si>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</si>
  <si>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</si>
  <si>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</si>
  <si>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</si>
  <si>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</si>
  <si>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</si>
  <si>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</si>
  <si>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</si>
  <si>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</si>
  <si>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</si>
  <si>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</si>
  <si>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</si>
  <si>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</si>
  <si>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</si>
  <si>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</si>
  <si>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</si>
  <si>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</si>
  <si>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</si>
  <si>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</si>
  <si>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</si>
  <si>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</si>
  <si>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</si>
  <si>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</si>
  <si>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</si>
  <si>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</si>
  <si>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</si>
  <si>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</si>
  <si>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</si>
  <si>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</si>
  <si>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</si>
  <si>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</si>
  <si>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</si>
  <si>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</si>
  <si>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</si>
  <si>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</si>
  <si>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</si>
  <si>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</si>
  <si>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</si>
  <si>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</si>
  <si>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</si>
  <si>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</si>
  <si>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</si>
  <si>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</si>
  <si>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</si>
  <si>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</si>
  <si>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</si>
  <si>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</si>
  <si>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</si>
  <si>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</si>
  <si>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</si>
  <si>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</si>
  <si>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</si>
  <si>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</si>
  <si>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</si>
  <si>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</si>
  <si>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</si>
  <si>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</si>
  <si>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</si>
  <si>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</si>
  <si>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</si>
  <si>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</si>
  <si>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</si>
  <si>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</si>
  <si>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</si>
  <si>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</si>
  <si>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</si>
  <si>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</si>
  <si>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</si>
  <si>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</si>
  <si>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</si>
  <si>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</si>
  <si>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</si>
  <si>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</si>
  <si>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</si>
  <si>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</si>
  <si>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</si>
  <si>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</si>
  <si>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</si>
  <si>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</si>
  <si>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</si>
  <si>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</si>
  <si>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</si>
  <si>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</si>
  <si>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</si>
  <si>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</si>
  <si>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</si>
  <si>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</si>
  <si>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</si>
  <si>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</si>
  <si>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</si>
  <si>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</si>
  <si>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</si>
  <si>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</si>
  <si>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</si>
  <si>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</si>
  <si>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</si>
  <si>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</si>
  <si>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</si>
  <si>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</si>
  <si>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</si>
  <si>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</si>
  <si>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</si>
  <si>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</si>
  <si>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</si>
  <si>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</si>
  <si>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</si>
  <si>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</si>
  <si>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</si>
  <si>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</si>
  <si>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</si>
  <si>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</si>
  <si>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</si>
  <si>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</si>
  <si>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</si>
  <si>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</si>
  <si>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</si>
  <si>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</si>
  <si>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</si>
  <si>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</si>
  <si>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</si>
  <si>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</si>
  <si>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</si>
  <si>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</si>
  <si>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</si>
  <si>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</si>
  <si>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</si>
  <si>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</si>
  <si>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</si>
  <si>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</si>
  <si>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</si>
  <si>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</si>
  <si>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</si>
  <si>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</si>
  <si>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</si>
  <si>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</si>
  <si>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</si>
  <si>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</si>
  <si>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</si>
  <si>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</si>
  <si>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</si>
  <si>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</si>
  <si>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</si>
  <si>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</si>
  <si>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</si>
  <si>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</si>
  <si>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</si>
  <si>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</si>
  <si>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</si>
  <si>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</si>
  <si>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</si>
  <si>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</si>
  <si>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</si>
  <si>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</si>
  <si>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</si>
  <si>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</si>
  <si>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</si>
  <si>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</si>
  <si>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</si>
  <si>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</si>
  <si>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</si>
  <si>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</si>
  <si>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</si>
  <si>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</si>
  <si>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</si>
  <si>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</si>
  <si>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</si>
  <si>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</si>
  <si>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</si>
  <si>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</si>
  <si>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</si>
  <si>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</si>
  <si>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</si>
  <si>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</si>
  <si>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</si>
  <si>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</si>
  <si>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</si>
  <si>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</si>
  <si>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</si>
  <si>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</si>
  <si>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</si>
  <si>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</si>
  <si>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</si>
  <si>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</si>
  <si>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</si>
  <si>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</si>
  <si>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</si>
  <si>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</si>
  <si>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</si>
  <si>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</si>
  <si>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</si>
  <si>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</si>
  <si>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</si>
  <si>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</si>
  <si>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</si>
  <si>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</si>
  <si>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</si>
  <si>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</si>
  <si>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</si>
  <si>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</si>
  <si>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</si>
  <si>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</si>
  <si>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</si>
  <si>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</si>
  <si>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</si>
  <si>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</si>
  <si>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</si>
  <si>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</si>
  <si>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</si>
  <si>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</si>
  <si>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</si>
  <si>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</si>
  <si>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</si>
  <si>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</si>
  <si>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</si>
  <si>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</si>
  <si>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</si>
  <si>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</si>
  <si>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</si>
  <si>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</si>
  <si>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</si>
  <si>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</si>
  <si>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</si>
  <si>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</si>
  <si>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</si>
  <si>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</si>
  <si>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</si>
  <si>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</si>
  <si>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</si>
  <si>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</si>
  <si>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</si>
  <si>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</si>
  <si>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</si>
  <si>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</si>
  <si>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</si>
  <si>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</si>
  <si>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</si>
  <si>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</si>
  <si>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</si>
  <si>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</si>
  <si>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</si>
  <si>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</si>
  <si>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</si>
  <si>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</si>
  <si>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</si>
  <si>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</si>
  <si>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</si>
  <si>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</si>
  <si>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</si>
  <si>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</si>
  <si>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</si>
  <si>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</si>
  <si>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</si>
  <si>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</si>
  <si>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</si>
  <si>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</si>
  <si>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</si>
  <si>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</si>
  <si>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</si>
  <si>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</si>
  <si>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</si>
  <si>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</si>
  <si>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</si>
  <si>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</si>
  <si>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</si>
  <si>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</si>
  <si>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</si>
  <si>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</si>
  <si>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</si>
  <si>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</si>
  <si>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</si>
  <si>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</si>
  <si>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</si>
  <si>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</si>
  <si>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</si>
  <si>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</si>
  <si>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</si>
  <si>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</si>
  <si>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</si>
  <si>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</si>
  <si>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</si>
  <si>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</si>
  <si>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</si>
  <si>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</si>
  <si>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</si>
  <si>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</si>
  <si>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</si>
  <si>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</si>
  <si>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</si>
  <si>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</si>
  <si>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</si>
  <si>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</si>
  <si>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</si>
  <si>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</si>
  <si>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</si>
  <si>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</si>
  <si>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</si>
  <si>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</si>
  <si>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</si>
  <si>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</si>
  <si>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</si>
  <si>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</si>
  <si>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</si>
  <si>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</si>
  <si>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</si>
  <si>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</si>
  <si>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</si>
  <si>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</si>
  <si>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</si>
  <si>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</si>
  <si>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</si>
  <si>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</si>
  <si>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</si>
  <si>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</si>
  <si>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</si>
  <si>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</si>
  <si>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</si>
  <si>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</si>
  <si>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</si>
  <si>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</si>
  <si>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</si>
  <si>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</si>
  <si>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</si>
  <si>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</si>
  <si>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</si>
  <si>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</si>
  <si>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</si>
  <si>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</si>
  <si>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</si>
  <si>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</si>
  <si>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</si>
  <si>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</si>
  <si>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</si>
  <si>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</si>
  <si>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</si>
  <si>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</si>
  <si>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</si>
  <si>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</si>
  <si>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</si>
  <si>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</si>
  <si>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</si>
  <si>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</si>
  <si>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</si>
  <si>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DEF-003, DEF-004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</si>
</sst>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</cellXfs>
  <cellStyles count="1">
    <cellStyle name="Normal" xfId="0" builtinId="0"/>
  </cellStyles>
  <dxfs count="15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Approach"/>
      <sheetName val="Test Summary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9"/>
  <sheetViews>
    <sheetView workbookViewId="0">
      <selection activeCell="I9" sqref="I9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30" t="s">
        <v>0</v>
      </c>
      <c r="B1" s="30"/>
      <c r="C1" s="30"/>
      <c r="D1" s="30"/>
      <c r="E1" s="30"/>
      <c r="F1" s="30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31" t="s">
        <v>10</v>
      </c>
      <c r="B3" s="31"/>
      <c r="C3" s="31"/>
      <c r="D3" s="31"/>
      <c r="E3" s="31"/>
      <c r="F3" s="31"/>
      <c r="G3" s="31"/>
      <c r="H3" s="31"/>
      <c r="I3" s="31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64.5" customHeight="1">
      <c r="A6" s="3">
        <v>3</v>
      </c>
      <c r="B6" s="4" t="s">
        <v>293</v>
      </c>
      <c r="C6" s="4" t="s">
        <v>294</v>
      </c>
      <c r="D6" s="3">
        <f>COUNTA(UT03_CreateBooking_Time_BVA!$A$11:$A$23)</f>
        <v>13</v>
      </c>
      <c r="E6" s="3">
        <f>COUNTIF(UT03_CreateBooking_Time_BVA!$G$11:$G$23,"Pass")</f>
        <v>9</v>
      </c>
      <c r="F6" s="3">
        <f>COUNTIF(UT03_CreateBooking_Time_BVA!$G$11:$G$23,"Fail")</f>
        <v>4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295</v>
      </c>
    </row>
    <row r="7" spans="1:9" ht="63">
      <c r="A7" s="3">
        <v>4</v>
      </c>
      <c r="B7" s="4" t="s">
        <v>450</v>
      </c>
      <c r="C7" s="4" t="s">
        <v>451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9" ht="21">
      <c r="A8" s="3">
        <v>5</v>
      </c>
      <c r="B8" s="4" t="s">
        <v>452</v>
      </c>
      <c r="C8" s="4" t="s">
        <v>453</v>
      </c>
      <c r="D8" s="3">
        <f>COUNTA(UT05_CancelBooking_DT!$B$34:$B$45)</f>
        <v>12</v>
      </c>
      <c r="E8" s="3">
        <f>COUNTIF(UT05_CancelBooking_DT!$I$34:$I$45,"Pass")</f>
        <v>11</v>
      </c>
      <c r="F8" s="3">
        <f>COUNTIF(UT05_CancelBooking_DT!$I$34:$I$45,"Fail")</f>
        <v>1</v>
      </c>
      <c r="G8" s="3">
        <f>COUNTIF(UT05_CancelBooking_DT!$I$34:$I$45,"No run")</f>
        <v>0</v>
      </c>
      <c r="H8" s="3">
        <f>COUNTIF(UT05_CancelBooking_DT!$I$34:$I$45,"Block")</f>
        <v>0</v>
      </c>
      <c r="I8" s="4" t="s">
        <v>454</v>
      </c>
    </row>
    <row r="9" spans="1:9" ht="21">
      <c r="A9" s="29" t="s">
        <v>13</v>
      </c>
      <c r="B9" s="29"/>
      <c r="C9" s="29"/>
      <c r="D9" s="5" cm="1">
        <f t="array" ref="D9">SUMPRODUCT(ISNUMBER(D4:D8)*D4:D8)</f>
        <v>63</v>
      </c>
      <c r="E9" s="6" cm="1">
        <f t="array" ref="E9">SUMPRODUCT(ISNUMBER(E4:E8)*E4:E8)</f>
        <v>57</v>
      </c>
      <c r="F9" s="7" cm="1">
        <f t="array" ref="F9">SUMPRODUCT(ISNUMBER(F4:F8)*F4:F8)</f>
        <v>6</v>
      </c>
      <c r="G9" s="5" cm="1">
        <f t="array" ref="G9">SUMPRODUCT(ISNUMBER(G4:G8)*G4:G8)</f>
        <v>0</v>
      </c>
      <c r="H9" s="5" cm="1">
        <f t="array" ref="H9">SUMPRODUCT(ISNUMBER(H4:H8)*H4:H8)</f>
        <v>0</v>
      </c>
      <c r="I9" s="4"/>
    </row>
  </sheetData>
  <mergeCells count="3">
    <mergeCell ref="A9:C9"/>
    <mergeCell ref="A1:F1"/>
    <mergeCell ref="A3:I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32" t="s">
        <v>14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ht="24" thickBot="1">
      <c r="A2" s="9" t="s">
        <v>15</v>
      </c>
      <c r="F2" s="33" t="s">
        <v>16</v>
      </c>
      <c r="G2" s="33"/>
    </row>
    <row r="3" spans="1:10" ht="24" thickBot="1">
      <c r="A3" s="10" t="s">
        <v>17</v>
      </c>
      <c r="B3" s="34" t="s">
        <v>18</v>
      </c>
      <c r="C3" s="34"/>
      <c r="D3" s="34"/>
      <c r="F3" s="10" t="s">
        <v>17</v>
      </c>
      <c r="G3" s="34" t="s">
        <v>18</v>
      </c>
      <c r="H3" s="34"/>
      <c r="I3" s="34"/>
      <c r="J3" s="34"/>
    </row>
    <row r="4" spans="1:10" ht="24" thickBot="1">
      <c r="A4" s="11" t="s">
        <v>19</v>
      </c>
      <c r="B4" s="35" t="s">
        <v>20</v>
      </c>
      <c r="C4" s="35"/>
      <c r="D4" s="35"/>
      <c r="F4" s="11" t="s">
        <v>21</v>
      </c>
      <c r="G4" s="35" t="s">
        <v>22</v>
      </c>
      <c r="H4" s="35"/>
      <c r="I4" s="35"/>
      <c r="J4" s="35"/>
    </row>
    <row r="5" spans="1:10" ht="24" thickBot="1">
      <c r="A5" s="11" t="s">
        <v>23</v>
      </c>
      <c r="B5" s="35" t="s">
        <v>24</v>
      </c>
      <c r="C5" s="35"/>
      <c r="D5" s="35"/>
      <c r="F5" s="11" t="s">
        <v>25</v>
      </c>
      <c r="G5" s="35" t="s">
        <v>26</v>
      </c>
      <c r="H5" s="35"/>
      <c r="I5" s="35"/>
      <c r="J5" s="35"/>
    </row>
    <row r="6" spans="1:10" ht="24" thickBot="1">
      <c r="A6" s="11" t="s">
        <v>27</v>
      </c>
      <c r="B6" s="35" t="s">
        <v>28</v>
      </c>
      <c r="C6" s="35"/>
      <c r="D6" s="35"/>
      <c r="F6" s="11" t="s">
        <v>29</v>
      </c>
      <c r="G6" s="35" t="s">
        <v>30</v>
      </c>
      <c r="H6" s="35"/>
      <c r="I6" s="35"/>
      <c r="J6" s="35"/>
    </row>
    <row r="7" spans="1:10" ht="24" thickBot="1">
      <c r="A7" s="11" t="s">
        <v>31</v>
      </c>
      <c r="B7" s="35" t="s">
        <v>32</v>
      </c>
      <c r="C7" s="35"/>
      <c r="D7" s="35"/>
      <c r="F7" s="11" t="s">
        <v>33</v>
      </c>
      <c r="G7" s="35" t="s">
        <v>34</v>
      </c>
      <c r="H7" s="35"/>
      <c r="I7" s="35"/>
      <c r="J7" s="35"/>
    </row>
    <row r="8" spans="1:10" ht="24" thickBot="1">
      <c r="A8" s="11" t="s">
        <v>35</v>
      </c>
      <c r="B8" s="35" t="s">
        <v>36</v>
      </c>
      <c r="C8" s="35"/>
      <c r="D8" s="35"/>
      <c r="F8" s="11" t="s">
        <v>37</v>
      </c>
      <c r="G8" s="35" t="s">
        <v>38</v>
      </c>
      <c r="H8" s="35"/>
      <c r="I8" s="35"/>
      <c r="J8" s="35"/>
    </row>
    <row r="9" spans="1:10" ht="24" thickBot="1">
      <c r="A9" s="11" t="s">
        <v>39</v>
      </c>
      <c r="B9" s="35" t="s">
        <v>40</v>
      </c>
      <c r="C9" s="35"/>
      <c r="D9" s="35"/>
      <c r="F9" s="11" t="s">
        <v>41</v>
      </c>
      <c r="G9" s="35" t="s">
        <v>42</v>
      </c>
      <c r="H9" s="35"/>
      <c r="I9" s="35"/>
      <c r="J9" s="35"/>
    </row>
    <row r="10" spans="1:10" ht="24" thickBot="1">
      <c r="F10" s="11" t="s">
        <v>43</v>
      </c>
      <c r="G10" s="35" t="s">
        <v>44</v>
      </c>
      <c r="H10" s="35"/>
      <c r="I10" s="35"/>
      <c r="J10" s="35"/>
    </row>
    <row r="11" spans="1:10" ht="24" thickBot="1">
      <c r="F11" s="11" t="s">
        <v>45</v>
      </c>
      <c r="G11" s="35" t="s">
        <v>46</v>
      </c>
      <c r="H11" s="35"/>
      <c r="I11" s="35"/>
      <c r="J11" s="35"/>
    </row>
    <row r="12" spans="1:10" ht="24" thickBot="1">
      <c r="F12" s="11" t="s">
        <v>47</v>
      </c>
      <c r="G12" s="35" t="s">
        <v>48</v>
      </c>
      <c r="H12" s="35"/>
      <c r="I12" s="35"/>
      <c r="J12" s="35"/>
    </row>
    <row r="13" spans="1:10" ht="24" thickBot="1">
      <c r="F13" s="11" t="s">
        <v>49</v>
      </c>
      <c r="G13" s="35" t="s">
        <v>50</v>
      </c>
      <c r="H13" s="35"/>
      <c r="I13" s="35"/>
      <c r="J13" s="35"/>
    </row>
    <row r="14" spans="1:10" ht="24" thickBot="1">
      <c r="F14" s="11" t="s">
        <v>51</v>
      </c>
      <c r="G14" s="35" t="s">
        <v>52</v>
      </c>
      <c r="H14" s="35"/>
      <c r="I14" s="35"/>
      <c r="J14" s="35"/>
    </row>
    <row r="15" spans="1:10" ht="24" thickBot="1">
      <c r="F15" s="11" t="s">
        <v>53</v>
      </c>
      <c r="G15" s="35" t="s">
        <v>54</v>
      </c>
      <c r="H15" s="35"/>
      <c r="I15" s="35"/>
      <c r="J15" s="35"/>
    </row>
    <row r="16" spans="1:10" ht="24" thickBot="1">
      <c r="F16" s="11" t="s">
        <v>55</v>
      </c>
      <c r="G16" s="35" t="s">
        <v>56</v>
      </c>
      <c r="H16" s="35"/>
      <c r="I16" s="35"/>
      <c r="J16" s="35"/>
    </row>
    <row r="18" spans="1:10">
      <c r="A18" s="28" t="s">
        <v>57</v>
      </c>
      <c r="B18" s="28"/>
      <c r="C18" s="28"/>
      <c r="D18" s="28"/>
      <c r="E18" s="28"/>
      <c r="F18" s="28"/>
      <c r="G18" s="28"/>
      <c r="H18" s="28"/>
      <c r="I18" s="28"/>
      <c r="J18" s="28"/>
    </row>
    <row r="20" spans="1:10">
      <c r="A20" s="12" t="s">
        <v>58</v>
      </c>
      <c r="B20" s="24" t="s">
        <v>59</v>
      </c>
      <c r="C20" s="24"/>
      <c r="D20" s="24"/>
      <c r="E20" s="24"/>
      <c r="F20" s="24"/>
      <c r="G20" s="24"/>
      <c r="H20" s="24"/>
      <c r="I20" s="12" t="s">
        <v>60</v>
      </c>
      <c r="J20" s="14" t="s">
        <v>154</v>
      </c>
    </row>
    <row r="21" spans="1:10">
      <c r="A21" s="12" t="s">
        <v>61</v>
      </c>
      <c r="B21" s="24" t="s">
        <v>62</v>
      </c>
      <c r="C21" s="24"/>
      <c r="D21" s="24"/>
      <c r="E21" s="24"/>
      <c r="F21" s="24"/>
      <c r="G21" s="24"/>
      <c r="H21" s="24"/>
      <c r="I21" s="12" t="s">
        <v>63</v>
      </c>
      <c r="J21" s="14" t="s">
        <v>156</v>
      </c>
    </row>
    <row r="22" spans="1:10" ht="46.5">
      <c r="A22" s="12" t="s">
        <v>64</v>
      </c>
      <c r="B22" s="24" t="s">
        <v>65</v>
      </c>
      <c r="C22" s="24"/>
      <c r="D22" s="24"/>
      <c r="E22" s="24"/>
      <c r="F22" s="24"/>
      <c r="G22" s="24"/>
      <c r="H22" s="24"/>
      <c r="I22" s="12" t="s">
        <v>66</v>
      </c>
      <c r="J22" s="13" t="s">
        <v>67</v>
      </c>
    </row>
    <row r="23" spans="1:10" ht="46.5">
      <c r="A23" s="12" t="s">
        <v>68</v>
      </c>
      <c r="B23" s="24" t="s">
        <v>69</v>
      </c>
      <c r="C23" s="24"/>
      <c r="D23" s="24"/>
      <c r="E23" s="24"/>
      <c r="F23" s="24"/>
      <c r="G23" s="24"/>
      <c r="H23" s="24"/>
      <c r="I23" s="24"/>
      <c r="J23" s="24"/>
    </row>
    <row r="24" spans="1:10" ht="46.5">
      <c r="A24" s="12" t="s">
        <v>70</v>
      </c>
      <c r="B24" s="24" t="s">
        <v>71</v>
      </c>
      <c r="C24" s="24"/>
      <c r="D24" s="24"/>
      <c r="E24" s="24"/>
      <c r="F24" s="24"/>
      <c r="G24" s="24"/>
      <c r="H24" s="24"/>
      <c r="I24" s="24"/>
      <c r="J24" s="24"/>
    </row>
    <row r="26" spans="1:10">
      <c r="A26" s="25" t="s">
        <v>72</v>
      </c>
      <c r="B26" s="25" t="s">
        <v>73</v>
      </c>
      <c r="C26" s="25"/>
      <c r="D26" s="25"/>
      <c r="E26" s="25"/>
      <c r="F26" s="25"/>
      <c r="G26" s="25"/>
      <c r="H26" s="25" t="s">
        <v>74</v>
      </c>
      <c r="I26" s="25" t="s">
        <v>75</v>
      </c>
      <c r="J26" s="25" t="s">
        <v>76</v>
      </c>
    </row>
    <row r="27" spans="1:10" ht="46.5">
      <c r="A27" s="25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25"/>
      <c r="I27" s="25"/>
      <c r="J27" s="25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B20:H20"/>
    <mergeCell ref="B21:H21"/>
    <mergeCell ref="B22:H22"/>
    <mergeCell ref="B23:J23"/>
    <mergeCell ref="B24:J24"/>
    <mergeCell ref="A26:A27"/>
    <mergeCell ref="B26:G26"/>
    <mergeCell ref="H26:H27"/>
    <mergeCell ref="I26:I27"/>
    <mergeCell ref="J26:J2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B5:D5"/>
    <mergeCell ref="G5:J5"/>
    <mergeCell ref="B6:D6"/>
    <mergeCell ref="G6:J6"/>
    <mergeCell ref="B7:D7"/>
    <mergeCell ref="G7:J7"/>
    <mergeCell ref="A1:J1"/>
    <mergeCell ref="F2:G2"/>
    <mergeCell ref="B3:D3"/>
    <mergeCell ref="G3:J3"/>
    <mergeCell ref="B4:D4"/>
    <mergeCell ref="G4:J4"/>
  </mergeCells>
  <conditionalFormatting sqref="J28:J42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workbookViewId="0">
      <selection activeCell="B23" sqref="B23:F23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27" t="s">
        <v>152</v>
      </c>
      <c r="B17" s="27"/>
      <c r="C17" s="27"/>
      <c r="D17" s="27"/>
      <c r="E17" s="27"/>
      <c r="F17" s="27"/>
      <c r="G17" s="27"/>
      <c r="H17" s="27"/>
      <c r="I17" s="27"/>
    </row>
    <row r="19" spans="1:9">
      <c r="A19" s="28" t="s">
        <v>57</v>
      </c>
      <c r="B19" s="28"/>
      <c r="C19" s="28"/>
      <c r="D19" s="28"/>
      <c r="E19" s="28"/>
      <c r="F19" s="28"/>
      <c r="G19" s="28"/>
      <c r="H19" s="28"/>
      <c r="I19" s="28"/>
    </row>
    <row r="21" spans="1:9" ht="46.5">
      <c r="A21" s="12" t="s">
        <v>58</v>
      </c>
      <c r="B21" s="24" t="s">
        <v>153</v>
      </c>
      <c r="C21" s="24"/>
      <c r="D21" s="24"/>
      <c r="E21" s="24"/>
      <c r="F21" s="24"/>
      <c r="G21" s="21"/>
      <c r="H21" s="12" t="s">
        <v>60</v>
      </c>
      <c r="I21" s="14" t="s">
        <v>154</v>
      </c>
    </row>
    <row r="22" spans="1:9" ht="46.5">
      <c r="A22" s="12" t="s">
        <v>61</v>
      </c>
      <c r="B22" s="24" t="s">
        <v>155</v>
      </c>
      <c r="C22" s="24"/>
      <c r="D22" s="24"/>
      <c r="E22" s="24"/>
      <c r="F22" s="24"/>
      <c r="G22" s="21"/>
      <c r="H22" s="12" t="s">
        <v>63</v>
      </c>
      <c r="I22" s="14" t="s">
        <v>156</v>
      </c>
    </row>
    <row r="23" spans="1:9" ht="49.5" customHeight="1">
      <c r="A23" s="12" t="s">
        <v>64</v>
      </c>
      <c r="B23" s="36" t="s">
        <v>65</v>
      </c>
      <c r="C23" s="37"/>
      <c r="D23" s="37"/>
      <c r="E23" s="37"/>
      <c r="F23" s="38"/>
      <c r="G23" s="21"/>
      <c r="H23" s="12" t="s">
        <v>66</v>
      </c>
      <c r="I23" s="13" t="s">
        <v>67</v>
      </c>
    </row>
    <row r="24" spans="1:9">
      <c r="A24" s="12" t="s">
        <v>68</v>
      </c>
      <c r="B24" s="24" t="s">
        <v>157</v>
      </c>
      <c r="C24" s="24"/>
      <c r="D24" s="24"/>
      <c r="E24" s="24"/>
      <c r="F24" s="24"/>
      <c r="G24" s="24"/>
      <c r="H24" s="24"/>
      <c r="I24" s="24"/>
    </row>
    <row r="25" spans="1:9">
      <c r="A25" s="12" t="s">
        <v>70</v>
      </c>
      <c r="B25" s="24" t="s">
        <v>158</v>
      </c>
      <c r="C25" s="24"/>
      <c r="D25" s="24"/>
      <c r="E25" s="24"/>
      <c r="F25" s="24"/>
      <c r="G25" s="24"/>
      <c r="H25" s="24"/>
      <c r="I25" s="24"/>
    </row>
    <row r="27" spans="1:9">
      <c r="A27" s="25" t="s">
        <v>159</v>
      </c>
      <c r="B27" s="25" t="s">
        <v>72</v>
      </c>
      <c r="C27" s="25" t="s">
        <v>73</v>
      </c>
      <c r="D27" s="25"/>
      <c r="E27" s="25"/>
      <c r="F27" s="25" t="s">
        <v>74</v>
      </c>
      <c r="G27" s="25" t="s">
        <v>75</v>
      </c>
      <c r="H27" s="25" t="s">
        <v>76</v>
      </c>
    </row>
    <row r="28" spans="1:9" ht="46.5">
      <c r="A28" s="25"/>
      <c r="B28" s="25"/>
      <c r="C28" s="15" t="s">
        <v>81</v>
      </c>
      <c r="D28" s="15" t="s">
        <v>160</v>
      </c>
      <c r="E28" s="15" t="s">
        <v>161</v>
      </c>
      <c r="F28" s="25"/>
      <c r="G28" s="25"/>
      <c r="H28" s="25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4:I24"/>
    <mergeCell ref="A17:I17"/>
    <mergeCell ref="A19:I19"/>
    <mergeCell ref="B21:F21"/>
    <mergeCell ref="B22:F22"/>
    <mergeCell ref="B23:F23"/>
    <mergeCell ref="B25:I25"/>
    <mergeCell ref="A27:A28"/>
    <mergeCell ref="B27:B28"/>
    <mergeCell ref="C27:E27"/>
    <mergeCell ref="F27:F28"/>
    <mergeCell ref="G27:G28"/>
    <mergeCell ref="H27:H28"/>
  </mergeCells>
  <conditionalFormatting sqref="H29:H38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workbookViewId="0">
      <selection activeCell="B5" sqref="B5:E5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>
      <c r="A1" s="28" t="s">
        <v>57</v>
      </c>
      <c r="B1" s="28"/>
      <c r="C1" s="28"/>
      <c r="D1" s="28"/>
      <c r="E1" s="28"/>
      <c r="F1" s="28"/>
      <c r="G1" s="28"/>
      <c r="J1" s="13"/>
      <c r="K1" s="15" t="s">
        <v>222</v>
      </c>
      <c r="L1" s="15" t="s">
        <v>223</v>
      </c>
    </row>
    <row r="2" spans="1:12">
      <c r="J2" s="17" t="s">
        <v>224</v>
      </c>
      <c r="K2" s="17" t="s">
        <v>225</v>
      </c>
      <c r="L2" s="17" t="s">
        <v>226</v>
      </c>
    </row>
    <row r="3" spans="1:12">
      <c r="A3" s="12" t="s">
        <v>58</v>
      </c>
      <c r="B3" s="24" t="s">
        <v>227</v>
      </c>
      <c r="C3" s="24"/>
      <c r="D3" s="24"/>
      <c r="E3" s="24"/>
      <c r="F3" s="12" t="s">
        <v>60</v>
      </c>
      <c r="G3" s="14" t="s">
        <v>154</v>
      </c>
      <c r="J3" s="17" t="s">
        <v>228</v>
      </c>
      <c r="K3" s="17" t="s">
        <v>229</v>
      </c>
      <c r="L3" s="17" t="s">
        <v>230</v>
      </c>
    </row>
    <row r="4" spans="1:12">
      <c r="A4" s="12" t="s">
        <v>61</v>
      </c>
      <c r="B4" s="24" t="s">
        <v>231</v>
      </c>
      <c r="C4" s="24"/>
      <c r="D4" s="24"/>
      <c r="E4" s="24"/>
      <c r="F4" s="12" t="s">
        <v>63</v>
      </c>
      <c r="G4" s="14" t="s">
        <v>156</v>
      </c>
      <c r="J4" s="17" t="s">
        <v>232</v>
      </c>
      <c r="K4" s="17" t="s">
        <v>108</v>
      </c>
      <c r="L4" s="17" t="s">
        <v>233</v>
      </c>
    </row>
    <row r="5" spans="1:12" ht="46.5">
      <c r="A5" s="12" t="s">
        <v>64</v>
      </c>
      <c r="B5" s="24" t="s">
        <v>65</v>
      </c>
      <c r="C5" s="24"/>
      <c r="D5" s="24"/>
      <c r="E5" s="24"/>
      <c r="F5" s="12" t="s">
        <v>66</v>
      </c>
      <c r="G5" s="13" t="s">
        <v>67</v>
      </c>
      <c r="J5" s="17" t="s">
        <v>234</v>
      </c>
      <c r="K5" s="17" t="s">
        <v>235</v>
      </c>
      <c r="L5" s="17" t="s">
        <v>236</v>
      </c>
    </row>
    <row r="6" spans="1:12" ht="46.5">
      <c r="A6" s="12" t="s">
        <v>68</v>
      </c>
      <c r="B6" s="24" t="s">
        <v>237</v>
      </c>
      <c r="C6" s="24"/>
      <c r="D6" s="24"/>
      <c r="E6" s="24"/>
      <c r="F6" s="24"/>
      <c r="G6" s="24"/>
      <c r="J6" s="17" t="s">
        <v>238</v>
      </c>
      <c r="K6" s="17" t="s">
        <v>239</v>
      </c>
      <c r="L6" s="17" t="s">
        <v>240</v>
      </c>
    </row>
    <row r="7" spans="1:12" ht="46.5">
      <c r="A7" s="12" t="s">
        <v>70</v>
      </c>
      <c r="B7" s="24" t="s">
        <v>243</v>
      </c>
      <c r="C7" s="24"/>
      <c r="D7" s="24"/>
      <c r="E7" s="24"/>
      <c r="F7" s="24"/>
      <c r="G7" s="24"/>
      <c r="J7" s="17" t="s">
        <v>244</v>
      </c>
      <c r="K7" s="17" t="s">
        <v>245</v>
      </c>
      <c r="L7" s="17" t="s">
        <v>246</v>
      </c>
    </row>
    <row r="9" spans="1:12">
      <c r="A9" s="25" t="s">
        <v>72</v>
      </c>
      <c r="B9" s="25" t="s">
        <v>73</v>
      </c>
      <c r="C9" s="25"/>
      <c r="D9" s="25"/>
      <c r="E9" s="25" t="s">
        <v>74</v>
      </c>
      <c r="F9" s="25" t="s">
        <v>75</v>
      </c>
      <c r="G9" s="25" t="s">
        <v>76</v>
      </c>
    </row>
    <row r="10" spans="1:12">
      <c r="A10" s="25"/>
      <c r="B10" s="15" t="s">
        <v>82</v>
      </c>
      <c r="C10" s="15" t="s">
        <v>247</v>
      </c>
      <c r="D10" s="15" t="s">
        <v>248</v>
      </c>
      <c r="E10" s="25"/>
      <c r="F10" s="25"/>
      <c r="G10" s="25"/>
    </row>
    <row r="11" spans="1:12" ht="46.5">
      <c r="A11" s="16" t="s">
        <v>249</v>
      </c>
      <c r="B11" s="13" t="s">
        <v>250</v>
      </c>
      <c r="C11" s="13" t="s">
        <v>235</v>
      </c>
      <c r="D11" s="13" t="s">
        <v>236</v>
      </c>
      <c r="E11" s="13" t="s">
        <v>251</v>
      </c>
      <c r="F11" s="13" t="s">
        <v>258</v>
      </c>
      <c r="G11" s="17" t="s">
        <v>5</v>
      </c>
    </row>
    <row r="12" spans="1:12" ht="46.5">
      <c r="A12" s="16" t="s">
        <v>252</v>
      </c>
      <c r="B12" s="13" t="s">
        <v>253</v>
      </c>
      <c r="C12" s="13" t="s">
        <v>225</v>
      </c>
      <c r="D12" s="13" t="s">
        <v>254</v>
      </c>
      <c r="E12" s="13" t="s">
        <v>255</v>
      </c>
      <c r="F12" s="13" t="s">
        <v>258</v>
      </c>
      <c r="G12" s="17" t="s">
        <v>6</v>
      </c>
    </row>
    <row r="13" spans="1:12" ht="46.5">
      <c r="A13" s="16" t="s">
        <v>256</v>
      </c>
      <c r="B13" s="13" t="s">
        <v>257</v>
      </c>
      <c r="C13" s="13" t="s">
        <v>229</v>
      </c>
      <c r="D13" s="13" t="s">
        <v>236</v>
      </c>
      <c r="E13" s="13" t="s">
        <v>258</v>
      </c>
      <c r="F13" s="13" t="s">
        <v>258</v>
      </c>
      <c r="G13" s="17" t="s">
        <v>5</v>
      </c>
    </row>
    <row r="14" spans="1:12" ht="46.5">
      <c r="A14" s="16" t="s">
        <v>259</v>
      </c>
      <c r="B14" s="13" t="s">
        <v>260</v>
      </c>
      <c r="C14" s="13" t="s">
        <v>108</v>
      </c>
      <c r="D14" s="13" t="s">
        <v>261</v>
      </c>
      <c r="E14" s="13" t="s">
        <v>258</v>
      </c>
      <c r="F14" s="13" t="s">
        <v>258</v>
      </c>
      <c r="G14" s="17" t="s">
        <v>5</v>
      </c>
    </row>
    <row r="15" spans="1:12" ht="46.5">
      <c r="A15" s="16" t="s">
        <v>262</v>
      </c>
      <c r="B15" s="13" t="s">
        <v>263</v>
      </c>
      <c r="C15" s="13" t="s">
        <v>239</v>
      </c>
      <c r="D15" s="13" t="s">
        <v>264</v>
      </c>
      <c r="E15" s="13" t="s">
        <v>258</v>
      </c>
      <c r="F15" s="13" t="s">
        <v>258</v>
      </c>
      <c r="G15" s="17" t="s">
        <v>5</v>
      </c>
    </row>
    <row r="16" spans="1:12" ht="46.5">
      <c r="A16" s="16" t="s">
        <v>265</v>
      </c>
      <c r="B16" s="13" t="s">
        <v>266</v>
      </c>
      <c r="C16" s="13" t="s">
        <v>241</v>
      </c>
      <c r="D16" s="13" t="s">
        <v>267</v>
      </c>
      <c r="E16" s="13" t="s">
        <v>258</v>
      </c>
      <c r="F16" s="13" t="s">
        <v>258</v>
      </c>
      <c r="G16" s="17" t="s">
        <v>5</v>
      </c>
    </row>
    <row r="17" spans="1:7" ht="46.5">
      <c r="A17" s="16" t="s">
        <v>268</v>
      </c>
      <c r="B17" s="13" t="s">
        <v>269</v>
      </c>
      <c r="C17" s="13" t="s">
        <v>245</v>
      </c>
      <c r="D17" s="13" t="s">
        <v>270</v>
      </c>
      <c r="E17" s="13" t="s">
        <v>271</v>
      </c>
      <c r="F17" s="13" t="s">
        <v>258</v>
      </c>
      <c r="G17" s="17" t="s">
        <v>6</v>
      </c>
    </row>
    <row r="18" spans="1:7" ht="46.5">
      <c r="A18" s="16" t="s">
        <v>272</v>
      </c>
      <c r="B18" s="13" t="s">
        <v>273</v>
      </c>
      <c r="C18" s="13" t="s">
        <v>274</v>
      </c>
      <c r="D18" s="13" t="s">
        <v>226</v>
      </c>
      <c r="E18" s="13" t="s">
        <v>275</v>
      </c>
      <c r="F18" s="13" t="s">
        <v>258</v>
      </c>
      <c r="G18" s="17" t="s">
        <v>6</v>
      </c>
    </row>
    <row r="19" spans="1:7" ht="46.5">
      <c r="A19" s="16" t="s">
        <v>276</v>
      </c>
      <c r="B19" s="13" t="s">
        <v>277</v>
      </c>
      <c r="C19" s="13" t="s">
        <v>278</v>
      </c>
      <c r="D19" s="13" t="s">
        <v>230</v>
      </c>
      <c r="E19" s="13" t="s">
        <v>258</v>
      </c>
      <c r="F19" s="13" t="s">
        <v>258</v>
      </c>
      <c r="G19" s="17" t="s">
        <v>5</v>
      </c>
    </row>
    <row r="20" spans="1:7" ht="46.5">
      <c r="A20" s="16" t="s">
        <v>279</v>
      </c>
      <c r="B20" s="13" t="s">
        <v>280</v>
      </c>
      <c r="C20" s="13" t="s">
        <v>281</v>
      </c>
      <c r="D20" s="13" t="s">
        <v>233</v>
      </c>
      <c r="E20" s="13" t="s">
        <v>258</v>
      </c>
      <c r="F20" s="13" t="s">
        <v>258</v>
      </c>
      <c r="G20" s="17" t="s">
        <v>5</v>
      </c>
    </row>
    <row r="21" spans="1:7" ht="46.5">
      <c r="A21" s="16" t="s">
        <v>282</v>
      </c>
      <c r="B21" s="13" t="s">
        <v>283</v>
      </c>
      <c r="C21" s="13" t="s">
        <v>284</v>
      </c>
      <c r="D21" s="13" t="s">
        <v>240</v>
      </c>
      <c r="E21" s="13" t="s">
        <v>258</v>
      </c>
      <c r="F21" s="13" t="s">
        <v>258</v>
      </c>
      <c r="G21" s="17" t="s">
        <v>5</v>
      </c>
    </row>
    <row r="22" spans="1:7" ht="46.5">
      <c r="A22" s="16" t="s">
        <v>285</v>
      </c>
      <c r="B22" s="13" t="s">
        <v>286</v>
      </c>
      <c r="C22" s="13" t="s">
        <v>287</v>
      </c>
      <c r="D22" s="13" t="s">
        <v>242</v>
      </c>
      <c r="E22" s="13" t="s">
        <v>288</v>
      </c>
      <c r="F22" s="13" t="s">
        <v>258</v>
      </c>
      <c r="G22" s="17" t="s">
        <v>5</v>
      </c>
    </row>
    <row r="23" spans="1:7" ht="46.5">
      <c r="A23" s="16" t="s">
        <v>289</v>
      </c>
      <c r="B23" s="13" t="s">
        <v>290</v>
      </c>
      <c r="C23" s="13" t="s">
        <v>291</v>
      </c>
      <c r="D23" s="13" t="s">
        <v>246</v>
      </c>
      <c r="E23" s="13" t="s">
        <v>292</v>
      </c>
      <c r="F23" s="13" t="s">
        <v>258</v>
      </c>
      <c r="G23" s="17" t="s">
        <v>6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3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>
      <c r="A1" s="28" t="s">
        <v>57</v>
      </c>
      <c r="B1" s="28"/>
      <c r="C1" s="28"/>
      <c r="D1" s="28"/>
      <c r="E1" s="28"/>
      <c r="F1" s="28"/>
      <c r="G1" s="28"/>
      <c r="H1" s="28"/>
      <c r="K1" s="13"/>
      <c r="L1" s="15" t="s">
        <v>298</v>
      </c>
      <c r="M1" s="15" t="s">
        <v>299</v>
      </c>
      <c r="N1" s="15" t="s">
        <v>300</v>
      </c>
      <c r="O1" s="15" t="s">
        <v>301</v>
      </c>
    </row>
    <row r="2" spans="1:15">
      <c r="K2" s="17" t="s">
        <v>302</v>
      </c>
      <c r="L2" s="17" t="s">
        <v>303</v>
      </c>
      <c r="M2" s="17" t="s">
        <v>303</v>
      </c>
      <c r="N2" s="17" t="s">
        <v>304</v>
      </c>
      <c r="O2" s="17" t="s">
        <v>304</v>
      </c>
    </row>
    <row r="3" spans="1:15">
      <c r="A3" s="12" t="s">
        <v>58</v>
      </c>
      <c r="B3" s="24" t="s">
        <v>305</v>
      </c>
      <c r="C3" s="24"/>
      <c r="D3" s="24"/>
      <c r="E3" s="24"/>
      <c r="F3" s="24"/>
      <c r="G3" s="12" t="s">
        <v>60</v>
      </c>
      <c r="H3" s="14" t="s">
        <v>154</v>
      </c>
      <c r="K3" s="17" t="s">
        <v>306</v>
      </c>
      <c r="L3" s="17" t="s">
        <v>307</v>
      </c>
      <c r="M3" s="17" t="s">
        <v>307</v>
      </c>
      <c r="N3" s="17" t="s">
        <v>308</v>
      </c>
      <c r="O3" s="17" t="s">
        <v>308</v>
      </c>
    </row>
    <row r="4" spans="1:15">
      <c r="A4" s="12" t="s">
        <v>61</v>
      </c>
      <c r="B4" s="24" t="s">
        <v>309</v>
      </c>
      <c r="C4" s="24"/>
      <c r="D4" s="24"/>
      <c r="E4" s="24"/>
      <c r="F4" s="24"/>
      <c r="G4" s="12" t="s">
        <v>63</v>
      </c>
      <c r="H4" s="14" t="s">
        <v>156</v>
      </c>
      <c r="K4" s="17" t="s">
        <v>310</v>
      </c>
      <c r="L4" s="17" t="s">
        <v>311</v>
      </c>
      <c r="M4" s="17" t="s">
        <v>311</v>
      </c>
      <c r="N4" s="17" t="s">
        <v>86</v>
      </c>
      <c r="O4" s="17" t="s">
        <v>86</v>
      </c>
    </row>
    <row r="5" spans="1:15" ht="46.5">
      <c r="A5" s="12" t="s">
        <v>64</v>
      </c>
      <c r="B5" s="24" t="s">
        <v>65</v>
      </c>
      <c r="C5" s="24"/>
      <c r="D5" s="24"/>
      <c r="E5" s="24"/>
      <c r="F5" s="24"/>
      <c r="G5" s="12" t="s">
        <v>66</v>
      </c>
      <c r="H5" s="13" t="s">
        <v>67</v>
      </c>
      <c r="K5" s="17" t="s">
        <v>234</v>
      </c>
      <c r="L5" s="17" t="s">
        <v>312</v>
      </c>
      <c r="M5" s="17" t="s">
        <v>85</v>
      </c>
      <c r="N5" s="17" t="s">
        <v>85</v>
      </c>
      <c r="O5" s="17" t="s">
        <v>85</v>
      </c>
    </row>
    <row r="6" spans="1:15" ht="46.5">
      <c r="A6" s="12" t="s">
        <v>68</v>
      </c>
      <c r="B6" s="24" t="s">
        <v>313</v>
      </c>
      <c r="C6" s="24"/>
      <c r="D6" s="24"/>
      <c r="E6" s="24"/>
      <c r="F6" s="24"/>
      <c r="G6" s="24"/>
      <c r="H6" s="24"/>
    </row>
    <row r="7" spans="1:15" ht="46.5">
      <c r="A7" s="12" t="s">
        <v>70</v>
      </c>
      <c r="B7" s="24" t="s">
        <v>449</v>
      </c>
      <c r="C7" s="24"/>
      <c r="D7" s="24"/>
      <c r="E7" s="24"/>
      <c r="F7" s="24"/>
      <c r="G7" s="24"/>
      <c r="H7" s="24"/>
    </row>
    <row r="9" spans="1:15">
      <c r="A9" s="25" t="s">
        <v>72</v>
      </c>
      <c r="B9" s="25" t="s">
        <v>73</v>
      </c>
      <c r="C9" s="25"/>
      <c r="D9" s="25"/>
      <c r="E9" s="25"/>
      <c r="F9" s="25" t="s">
        <v>74</v>
      </c>
      <c r="G9" s="25" t="s">
        <v>75</v>
      </c>
      <c r="H9" s="25" t="s">
        <v>76</v>
      </c>
    </row>
    <row r="10" spans="1:15" ht="46.5">
      <c r="A10" s="25"/>
      <c r="B10" s="15" t="s">
        <v>314</v>
      </c>
      <c r="C10" s="15" t="s">
        <v>315</v>
      </c>
      <c r="D10" s="15" t="s">
        <v>316</v>
      </c>
      <c r="E10" s="15" t="s">
        <v>317</v>
      </c>
      <c r="F10" s="25"/>
      <c r="G10" s="25"/>
      <c r="H10" s="25"/>
    </row>
    <row r="11" spans="1:15">
      <c r="A11" s="16" t="s">
        <v>318</v>
      </c>
      <c r="B11" s="13" t="s">
        <v>319</v>
      </c>
      <c r="C11" s="13" t="s">
        <v>320</v>
      </c>
      <c r="D11" s="13" t="s">
        <v>321</v>
      </c>
      <c r="E11" s="13" t="s">
        <v>312</v>
      </c>
      <c r="F11" s="13" t="s">
        <v>322</v>
      </c>
      <c r="G11" s="13" t="s">
        <v>323</v>
      </c>
      <c r="H11" s="17" t="s">
        <v>5</v>
      </c>
    </row>
    <row r="12" spans="1:15" ht="46.5">
      <c r="A12" s="16" t="s">
        <v>324</v>
      </c>
      <c r="B12" s="13" t="s">
        <v>325</v>
      </c>
      <c r="C12" s="13" t="s">
        <v>326</v>
      </c>
      <c r="D12" s="13" t="s">
        <v>327</v>
      </c>
      <c r="E12" s="13" t="s">
        <v>303</v>
      </c>
      <c r="F12" s="13" t="s">
        <v>328</v>
      </c>
      <c r="G12" s="13" t="s">
        <v>201</v>
      </c>
      <c r="H12" s="17" t="s">
        <v>5</v>
      </c>
    </row>
    <row r="13" spans="1:15">
      <c r="A13" s="16" t="s">
        <v>329</v>
      </c>
      <c r="B13" s="13" t="s">
        <v>325</v>
      </c>
      <c r="C13" s="13" t="s">
        <v>330</v>
      </c>
      <c r="D13" s="13" t="s">
        <v>331</v>
      </c>
      <c r="E13" s="13" t="s">
        <v>307</v>
      </c>
      <c r="F13" s="13" t="s">
        <v>323</v>
      </c>
      <c r="G13" s="13" t="s">
        <v>323</v>
      </c>
      <c r="H13" s="17" t="s">
        <v>5</v>
      </c>
    </row>
    <row r="14" spans="1:15">
      <c r="A14" s="16" t="s">
        <v>332</v>
      </c>
      <c r="B14" s="13" t="s">
        <v>325</v>
      </c>
      <c r="C14" s="13" t="s">
        <v>333</v>
      </c>
      <c r="D14" s="13" t="s">
        <v>334</v>
      </c>
      <c r="E14" s="13" t="s">
        <v>311</v>
      </c>
      <c r="F14" s="13" t="s">
        <v>323</v>
      </c>
      <c r="G14" s="13" t="s">
        <v>323</v>
      </c>
      <c r="H14" s="17" t="s">
        <v>5</v>
      </c>
    </row>
    <row r="15" spans="1:15" ht="46.5">
      <c r="A15" s="16" t="s">
        <v>335</v>
      </c>
      <c r="B15" s="13" t="s">
        <v>325</v>
      </c>
      <c r="C15" s="13" t="s">
        <v>336</v>
      </c>
      <c r="D15" s="13" t="s">
        <v>337</v>
      </c>
      <c r="E15" s="13" t="s">
        <v>303</v>
      </c>
      <c r="F15" s="13" t="s">
        <v>338</v>
      </c>
      <c r="G15" s="13" t="s">
        <v>201</v>
      </c>
      <c r="H15" s="17" t="s">
        <v>5</v>
      </c>
    </row>
    <row r="16" spans="1:15">
      <c r="A16" s="16" t="s">
        <v>339</v>
      </c>
      <c r="B16" s="13" t="s">
        <v>325</v>
      </c>
      <c r="C16" s="13" t="s">
        <v>340</v>
      </c>
      <c r="D16" s="13" t="s">
        <v>341</v>
      </c>
      <c r="E16" s="13" t="s">
        <v>307</v>
      </c>
      <c r="F16" s="13" t="s">
        <v>323</v>
      </c>
      <c r="G16" s="13" t="s">
        <v>323</v>
      </c>
      <c r="H16" s="17" t="s">
        <v>5</v>
      </c>
    </row>
    <row r="17" spans="1:8">
      <c r="A17" s="16" t="s">
        <v>342</v>
      </c>
      <c r="B17" s="13" t="s">
        <v>325</v>
      </c>
      <c r="C17" s="13" t="s">
        <v>343</v>
      </c>
      <c r="D17" s="13" t="s">
        <v>344</v>
      </c>
      <c r="E17" s="13" t="s">
        <v>311</v>
      </c>
      <c r="F17" s="13" t="s">
        <v>323</v>
      </c>
      <c r="G17" s="13" t="s">
        <v>323</v>
      </c>
      <c r="H17" s="17" t="s">
        <v>5</v>
      </c>
    </row>
    <row r="18" spans="1:8" ht="46.5">
      <c r="A18" s="16" t="s">
        <v>345</v>
      </c>
      <c r="B18" s="13" t="s">
        <v>346</v>
      </c>
      <c r="C18" s="13" t="s">
        <v>347</v>
      </c>
      <c r="D18" s="13" t="s">
        <v>264</v>
      </c>
      <c r="E18" s="13" t="s">
        <v>304</v>
      </c>
      <c r="F18" s="13" t="s">
        <v>348</v>
      </c>
      <c r="G18" s="13" t="s">
        <v>201</v>
      </c>
      <c r="H18" s="17" t="s">
        <v>5</v>
      </c>
    </row>
    <row r="19" spans="1:8">
      <c r="A19" s="16" t="s">
        <v>349</v>
      </c>
      <c r="B19" s="13" t="s">
        <v>346</v>
      </c>
      <c r="C19" s="13" t="s">
        <v>350</v>
      </c>
      <c r="D19" s="13" t="s">
        <v>267</v>
      </c>
      <c r="E19" s="13" t="s">
        <v>308</v>
      </c>
      <c r="F19" s="13" t="s">
        <v>323</v>
      </c>
      <c r="G19" s="13" t="s">
        <v>323</v>
      </c>
      <c r="H19" s="17" t="s">
        <v>5</v>
      </c>
    </row>
    <row r="20" spans="1:8">
      <c r="A20" s="16" t="s">
        <v>351</v>
      </c>
      <c r="B20" s="13" t="s">
        <v>346</v>
      </c>
      <c r="C20" s="13" t="s">
        <v>352</v>
      </c>
      <c r="D20" s="13" t="s">
        <v>270</v>
      </c>
      <c r="E20" s="13" t="s">
        <v>86</v>
      </c>
      <c r="F20" s="13" t="s">
        <v>323</v>
      </c>
      <c r="G20" s="13" t="s">
        <v>323</v>
      </c>
      <c r="H20" s="17" t="s">
        <v>5</v>
      </c>
    </row>
    <row r="21" spans="1:8" ht="46.5">
      <c r="A21" s="16" t="s">
        <v>353</v>
      </c>
      <c r="B21" s="13" t="s">
        <v>346</v>
      </c>
      <c r="C21" s="13" t="s">
        <v>354</v>
      </c>
      <c r="D21" s="13" t="s">
        <v>355</v>
      </c>
      <c r="E21" s="13" t="s">
        <v>304</v>
      </c>
      <c r="F21" s="13" t="s">
        <v>348</v>
      </c>
      <c r="G21" s="13" t="s">
        <v>201</v>
      </c>
      <c r="H21" s="17" t="s">
        <v>5</v>
      </c>
    </row>
    <row r="22" spans="1:8">
      <c r="A22" s="16" t="s">
        <v>356</v>
      </c>
      <c r="B22" s="13" t="s">
        <v>346</v>
      </c>
      <c r="C22" s="13" t="s">
        <v>357</v>
      </c>
      <c r="D22" s="13" t="s">
        <v>358</v>
      </c>
      <c r="E22" s="13" t="s">
        <v>308</v>
      </c>
      <c r="F22" s="13" t="s">
        <v>323</v>
      </c>
      <c r="G22" s="13" t="s">
        <v>323</v>
      </c>
      <c r="H22" s="17" t="s">
        <v>5</v>
      </c>
    </row>
    <row r="23" spans="1:8">
      <c r="A23" s="16" t="s">
        <v>359</v>
      </c>
      <c r="B23" s="13" t="s">
        <v>346</v>
      </c>
      <c r="C23" s="13" t="s">
        <v>360</v>
      </c>
      <c r="D23" s="13" t="s">
        <v>361</v>
      </c>
      <c r="E23" s="13" t="s">
        <v>86</v>
      </c>
      <c r="F23" s="13" t="s">
        <v>323</v>
      </c>
      <c r="G23" s="13" t="s">
        <v>323</v>
      </c>
      <c r="H23" s="17" t="s">
        <v>5</v>
      </c>
    </row>
  </sheetData>
  <mergeCells count="11">
    <mergeCell ref="B7:H7"/>
    <mergeCell ref="A1:H1"/>
    <mergeCell ref="B3:F3"/>
    <mergeCell ref="B4:F4"/>
    <mergeCell ref="B5:F5"/>
    <mergeCell ref="B6:H6"/>
    <mergeCell ref="A9:A10"/>
    <mergeCell ref="B9:E9"/>
    <mergeCell ref="F9:F10"/>
    <mergeCell ref="G9:G10"/>
    <mergeCell ref="H9:H10"/>
  </mergeCells>
  <conditionalFormatting sqref="H11:H23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tabSelected="1" topLeftCell="A42" workbookViewId="0">
      <selection activeCell="G42" sqref="G42"/>
    </sheetView>
  </sheetViews>
  <sheetFormatPr defaultColWidth="7.625" defaultRowHeight="23.2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>
      <c r="A1" s="23" t="s">
        <v>362</v>
      </c>
    </row>
    <row r="2" spans="1:11">
      <c r="A2" s="26" t="s">
        <v>363</v>
      </c>
      <c r="B2" s="26"/>
      <c r="C2" s="26"/>
      <c r="D2" s="26"/>
      <c r="E2" s="26"/>
      <c r="F2" s="26"/>
      <c r="G2" s="26"/>
      <c r="H2" s="26"/>
      <c r="I2" s="26"/>
      <c r="J2" s="26"/>
      <c r="K2" s="26"/>
    </row>
    <row r="3" spans="1:11">
      <c r="A3" s="26" t="s">
        <v>364</v>
      </c>
      <c r="B3" s="26"/>
      <c r="C3" s="26"/>
      <c r="D3" s="26"/>
      <c r="E3" s="26"/>
      <c r="F3" s="26"/>
      <c r="G3" s="26"/>
      <c r="H3" s="26"/>
      <c r="I3" s="26"/>
      <c r="J3" s="26"/>
      <c r="K3" s="26"/>
    </row>
    <row r="4" spans="1:11">
      <c r="A4" s="26" t="s">
        <v>365</v>
      </c>
      <c r="B4" s="26"/>
      <c r="C4" s="26"/>
      <c r="D4" s="26"/>
      <c r="E4" s="26"/>
      <c r="F4" s="26"/>
      <c r="G4" s="26"/>
      <c r="H4" s="26"/>
      <c r="I4" s="26"/>
      <c r="J4" s="26"/>
      <c r="K4" s="26"/>
    </row>
    <row r="6" spans="1:11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366</v>
      </c>
      <c r="K6" s="19" t="s">
        <v>367</v>
      </c>
    </row>
    <row r="7" spans="1:11">
      <c r="A7" s="13" t="s">
        <v>368</v>
      </c>
      <c r="B7" s="17" t="s">
        <v>93</v>
      </c>
      <c r="C7" s="17" t="s">
        <v>85</v>
      </c>
      <c r="D7" s="17" t="s">
        <v>369</v>
      </c>
      <c r="E7" s="17" t="s">
        <v>369</v>
      </c>
      <c r="F7" s="17" t="s">
        <v>369</v>
      </c>
      <c r="G7" s="17" t="s">
        <v>369</v>
      </c>
      <c r="H7" s="17" t="s">
        <v>369</v>
      </c>
      <c r="I7" s="17" t="s">
        <v>370</v>
      </c>
      <c r="J7" s="17" t="s">
        <v>370</v>
      </c>
      <c r="K7" s="17" t="s">
        <v>370</v>
      </c>
    </row>
    <row r="8" spans="1:11">
      <c r="A8" s="13" t="s">
        <v>371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>
      <c r="A9" s="13" t="s">
        <v>372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>
      <c r="A10" s="13" t="s">
        <v>373</v>
      </c>
      <c r="B10" s="17" t="s">
        <v>85</v>
      </c>
      <c r="C10" s="17" t="s">
        <v>85</v>
      </c>
      <c r="D10" s="17" t="s">
        <v>85</v>
      </c>
      <c r="E10" s="17" t="s">
        <v>374</v>
      </c>
      <c r="F10" s="17" t="s">
        <v>375</v>
      </c>
      <c r="G10" s="17" t="s">
        <v>375</v>
      </c>
      <c r="H10" s="17" t="s">
        <v>375</v>
      </c>
      <c r="I10" s="17" t="s">
        <v>374</v>
      </c>
      <c r="J10" s="17" t="s">
        <v>85</v>
      </c>
      <c r="K10" s="17" t="s">
        <v>85</v>
      </c>
    </row>
    <row r="11" spans="1:11">
      <c r="A11" s="13" t="s">
        <v>376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377</v>
      </c>
      <c r="G11" s="17" t="s">
        <v>377</v>
      </c>
      <c r="H11" s="17" t="s">
        <v>378</v>
      </c>
      <c r="I11" s="17" t="s">
        <v>377</v>
      </c>
      <c r="J11" s="17" t="s">
        <v>379</v>
      </c>
      <c r="K11" s="17" t="s">
        <v>378</v>
      </c>
    </row>
    <row r="12" spans="1:11">
      <c r="A12" s="13" t="s">
        <v>380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>
      <c r="A14" s="13" t="s">
        <v>381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>
      <c r="A15" s="13" t="s">
        <v>382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>
      <c r="A16" s="13" t="s">
        <v>383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>
      <c r="A17" s="13" t="s">
        <v>384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>
      <c r="A18" s="13" t="s">
        <v>385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>
      <c r="A19" s="13" t="s">
        <v>386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>
      <c r="A20" s="13" t="s">
        <v>387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>
      <c r="A22" s="27" t="s">
        <v>388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</row>
    <row r="24" spans="1:11">
      <c r="A24" s="28" t="s">
        <v>57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</row>
    <row r="26" spans="1:11" ht="46.5">
      <c r="A26" s="12" t="s">
        <v>58</v>
      </c>
      <c r="B26" s="24" t="s">
        <v>389</v>
      </c>
      <c r="C26" s="24"/>
      <c r="D26" s="24"/>
      <c r="E26" s="24"/>
      <c r="F26" s="24"/>
      <c r="G26" s="24"/>
      <c r="H26" s="21"/>
      <c r="I26" s="21"/>
      <c r="J26" s="12" t="s">
        <v>60</v>
      </c>
      <c r="K26" s="14" t="s">
        <v>154</v>
      </c>
    </row>
    <row r="27" spans="1:11" ht="46.5">
      <c r="A27" s="12" t="s">
        <v>61</v>
      </c>
      <c r="B27" s="24" t="s">
        <v>390</v>
      </c>
      <c r="C27" s="24"/>
      <c r="D27" s="24"/>
      <c r="E27" s="24"/>
      <c r="F27" s="24"/>
      <c r="G27" s="24"/>
      <c r="H27" s="21"/>
      <c r="I27" s="21"/>
      <c r="J27" s="12" t="s">
        <v>63</v>
      </c>
      <c r="K27" s="14" t="s">
        <v>156</v>
      </c>
    </row>
    <row r="28" spans="1:11">
      <c r="A28" s="12" t="s">
        <v>64</v>
      </c>
      <c r="B28" s="24" t="s">
        <v>65</v>
      </c>
      <c r="C28" s="24"/>
      <c r="D28" s="24"/>
      <c r="E28" s="24"/>
      <c r="F28" s="24"/>
      <c r="G28" s="24"/>
      <c r="H28" s="21"/>
      <c r="I28" s="21"/>
      <c r="J28" s="12" t="s">
        <v>66</v>
      </c>
      <c r="K28" s="13" t="s">
        <v>67</v>
      </c>
    </row>
    <row r="29" spans="1:11">
      <c r="A29" s="12" t="s">
        <v>68</v>
      </c>
      <c r="B29" s="24" t="s">
        <v>391</v>
      </c>
      <c r="C29" s="24"/>
      <c r="D29" s="24"/>
      <c r="E29" s="24"/>
      <c r="F29" s="24"/>
      <c r="G29" s="24"/>
      <c r="H29" s="24"/>
      <c r="I29" s="24"/>
      <c r="J29" s="24"/>
      <c r="K29" s="24"/>
    </row>
    <row r="30" spans="1:11">
      <c r="A30" s="12" t="s">
        <v>70</v>
      </c>
      <c r="B30" s="24" t="s">
        <v>448</v>
      </c>
      <c r="C30" s="24"/>
      <c r="D30" s="24"/>
      <c r="E30" s="24"/>
      <c r="F30" s="24"/>
      <c r="G30" s="24"/>
      <c r="H30" s="24"/>
      <c r="I30" s="24"/>
      <c r="J30" s="24"/>
      <c r="K30" s="24"/>
    </row>
    <row r="32" spans="1:11">
      <c r="A32" s="25" t="s">
        <v>159</v>
      </c>
      <c r="B32" s="25" t="s">
        <v>72</v>
      </c>
      <c r="C32" s="25" t="s">
        <v>73</v>
      </c>
      <c r="D32" s="25"/>
      <c r="E32" s="25"/>
      <c r="F32" s="25"/>
      <c r="G32" s="25" t="s">
        <v>74</v>
      </c>
      <c r="H32" s="25" t="s">
        <v>75</v>
      </c>
      <c r="I32" s="25" t="s">
        <v>76</v>
      </c>
    </row>
    <row r="33" spans="1:9" ht="46.5">
      <c r="A33" s="25"/>
      <c r="B33" s="25"/>
      <c r="C33" s="15" t="s">
        <v>392</v>
      </c>
      <c r="D33" s="15" t="s">
        <v>77</v>
      </c>
      <c r="E33" s="15" t="s">
        <v>393</v>
      </c>
      <c r="F33" s="15" t="s">
        <v>394</v>
      </c>
      <c r="G33" s="25"/>
      <c r="H33" s="25"/>
      <c r="I33" s="25"/>
    </row>
    <row r="34" spans="1:9" ht="46.5">
      <c r="A34" s="17" t="s">
        <v>162</v>
      </c>
      <c r="B34" s="16" t="s">
        <v>395</v>
      </c>
      <c r="C34" s="13" t="s">
        <v>396</v>
      </c>
      <c r="D34" s="13" t="s">
        <v>93</v>
      </c>
      <c r="E34" s="13" t="s">
        <v>397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>
      <c r="A35" s="17" t="s">
        <v>167</v>
      </c>
      <c r="B35" s="16" t="s">
        <v>398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>
      <c r="A36" s="17" t="s">
        <v>171</v>
      </c>
      <c r="B36" s="16" t="s">
        <v>399</v>
      </c>
      <c r="C36" s="13" t="s">
        <v>396</v>
      </c>
      <c r="D36" s="13" t="s">
        <v>400</v>
      </c>
      <c r="E36" s="13" t="s">
        <v>397</v>
      </c>
      <c r="F36" s="13" t="s">
        <v>85</v>
      </c>
      <c r="G36" s="13" t="s">
        <v>401</v>
      </c>
      <c r="H36" s="13" t="s">
        <v>402</v>
      </c>
      <c r="I36" s="17" t="s">
        <v>5</v>
      </c>
    </row>
    <row r="37" spans="1:9" ht="69.75">
      <c r="A37" s="17" t="s">
        <v>175</v>
      </c>
      <c r="B37" s="16" t="s">
        <v>403</v>
      </c>
      <c r="C37" s="13" t="s">
        <v>115</v>
      </c>
      <c r="D37" s="13" t="s">
        <v>84</v>
      </c>
      <c r="E37" s="13" t="s">
        <v>404</v>
      </c>
      <c r="F37" s="13" t="s">
        <v>85</v>
      </c>
      <c r="G37" s="13" t="s">
        <v>405</v>
      </c>
      <c r="H37" s="13" t="s">
        <v>102</v>
      </c>
      <c r="I37" s="17" t="s">
        <v>5</v>
      </c>
    </row>
    <row r="38" spans="1:9" ht="69.75">
      <c r="A38" s="17" t="s">
        <v>183</v>
      </c>
      <c r="B38" s="16" t="s">
        <v>406</v>
      </c>
      <c r="C38" s="13" t="s">
        <v>407</v>
      </c>
      <c r="D38" s="13" t="s">
        <v>84</v>
      </c>
      <c r="E38" s="13" t="s">
        <v>408</v>
      </c>
      <c r="F38" s="13" t="s">
        <v>409</v>
      </c>
      <c r="G38" s="13" t="s">
        <v>410</v>
      </c>
      <c r="H38" s="13" t="s">
        <v>411</v>
      </c>
      <c r="I38" s="17" t="s">
        <v>5</v>
      </c>
    </row>
    <row r="39" spans="1:9" ht="93">
      <c r="A39" s="17" t="s">
        <v>183</v>
      </c>
      <c r="B39" s="16" t="s">
        <v>412</v>
      </c>
      <c r="C39" s="13" t="s">
        <v>413</v>
      </c>
      <c r="D39" s="13" t="s">
        <v>84</v>
      </c>
      <c r="E39" s="13" t="s">
        <v>414</v>
      </c>
      <c r="F39" s="13" t="s">
        <v>415</v>
      </c>
      <c r="G39" s="13" t="s">
        <v>416</v>
      </c>
      <c r="H39" s="13" t="s">
        <v>411</v>
      </c>
      <c r="I39" s="17" t="s">
        <v>5</v>
      </c>
    </row>
    <row r="40" spans="1:9" ht="69.75">
      <c r="A40" s="17" t="s">
        <v>188</v>
      </c>
      <c r="B40" s="16" t="s">
        <v>417</v>
      </c>
      <c r="C40" s="13" t="s">
        <v>303</v>
      </c>
      <c r="D40" s="13" t="s">
        <v>84</v>
      </c>
      <c r="E40" s="13" t="s">
        <v>397</v>
      </c>
      <c r="F40" s="13" t="s">
        <v>418</v>
      </c>
      <c r="G40" s="13" t="s">
        <v>419</v>
      </c>
      <c r="H40" s="13" t="s">
        <v>420</v>
      </c>
      <c r="I40" s="17" t="s">
        <v>6</v>
      </c>
    </row>
    <row r="41" spans="1:9" ht="69.75">
      <c r="A41" s="17" t="s">
        <v>193</v>
      </c>
      <c r="B41" s="16" t="s">
        <v>421</v>
      </c>
      <c r="C41" s="13" t="s">
        <v>422</v>
      </c>
      <c r="D41" s="13" t="s">
        <v>84</v>
      </c>
      <c r="E41" s="13" t="s">
        <v>423</v>
      </c>
      <c r="F41" s="13" t="s">
        <v>85</v>
      </c>
      <c r="G41" s="13" t="s">
        <v>424</v>
      </c>
      <c r="H41" s="13" t="s">
        <v>102</v>
      </c>
      <c r="I41" s="17" t="s">
        <v>5</v>
      </c>
    </row>
    <row r="42" spans="1:9" ht="69.75">
      <c r="A42" s="17" t="s">
        <v>197</v>
      </c>
      <c r="B42" s="16" t="s">
        <v>425</v>
      </c>
      <c r="C42" s="13" t="s">
        <v>307</v>
      </c>
      <c r="D42" s="13" t="s">
        <v>92</v>
      </c>
      <c r="E42" s="13" t="s">
        <v>404</v>
      </c>
      <c r="F42" s="13" t="s">
        <v>85</v>
      </c>
      <c r="G42" s="13" t="s">
        <v>426</v>
      </c>
      <c r="H42" s="13" t="s">
        <v>411</v>
      </c>
      <c r="I42" s="17" t="s">
        <v>5</v>
      </c>
    </row>
    <row r="43" spans="1:9" ht="46.5">
      <c r="A43" s="17" t="s">
        <v>427</v>
      </c>
      <c r="B43" s="16" t="s">
        <v>428</v>
      </c>
      <c r="C43" s="13" t="s">
        <v>311</v>
      </c>
      <c r="D43" s="13" t="s">
        <v>429</v>
      </c>
      <c r="E43" s="13" t="s">
        <v>430</v>
      </c>
      <c r="F43" s="13" t="s">
        <v>85</v>
      </c>
      <c r="G43" s="13" t="s">
        <v>431</v>
      </c>
      <c r="H43" s="13" t="s">
        <v>411</v>
      </c>
      <c r="I43" s="17" t="s">
        <v>5</v>
      </c>
    </row>
    <row r="44" spans="1:9" ht="46.5">
      <c r="A44" s="17" t="s">
        <v>432</v>
      </c>
      <c r="B44" s="16" t="s">
        <v>433</v>
      </c>
      <c r="C44" s="13" t="s">
        <v>434</v>
      </c>
      <c r="D44" s="13" t="s">
        <v>429</v>
      </c>
      <c r="E44" s="13" t="s">
        <v>435</v>
      </c>
      <c r="F44" s="13" t="s">
        <v>85</v>
      </c>
      <c r="G44" s="13" t="s">
        <v>436</v>
      </c>
      <c r="H44" s="13" t="s">
        <v>420</v>
      </c>
      <c r="I44" s="17" t="s">
        <v>5</v>
      </c>
    </row>
    <row r="45" spans="1:9" ht="46.5">
      <c r="A45" s="17" t="s">
        <v>432</v>
      </c>
      <c r="B45" s="16" t="s">
        <v>437</v>
      </c>
      <c r="C45" s="13" t="s">
        <v>112</v>
      </c>
      <c r="D45" s="13" t="s">
        <v>92</v>
      </c>
      <c r="E45" s="13" t="s">
        <v>438</v>
      </c>
      <c r="F45" s="13" t="s">
        <v>85</v>
      </c>
      <c r="G45" s="13" t="s">
        <v>439</v>
      </c>
      <c r="H45" s="13" t="s">
        <v>420</v>
      </c>
      <c r="I45" s="17" t="s">
        <v>5</v>
      </c>
    </row>
  </sheetData>
  <mergeCells count="16">
    <mergeCell ref="B26:G26"/>
    <mergeCell ref="A2:K2"/>
    <mergeCell ref="A3:K3"/>
    <mergeCell ref="A4:K4"/>
    <mergeCell ref="A22:K22"/>
    <mergeCell ref="A24:K24"/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</mergeCells>
  <conditionalFormatting sqref="I34:I45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5"/>
  <sheetViews>
    <sheetView workbookViewId="0">
      <selection activeCell="O7" sqref="O7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22" t="s">
        <v>1</v>
      </c>
      <c r="B1" s="22" t="s">
        <v>205</v>
      </c>
      <c r="C1" s="22" t="s">
        <v>206</v>
      </c>
      <c r="D1" s="22" t="s">
        <v>207</v>
      </c>
      <c r="E1" s="22" t="s">
        <v>208</v>
      </c>
      <c r="F1" s="22" t="s">
        <v>209</v>
      </c>
      <c r="G1" s="22" t="s">
        <v>210</v>
      </c>
      <c r="H1" s="22" t="s">
        <v>211</v>
      </c>
      <c r="I1" s="22" t="s">
        <v>212</v>
      </c>
      <c r="J1" s="22" t="s">
        <v>213</v>
      </c>
      <c r="K1" s="22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  <row r="3" spans="1:11" ht="85.5" customHeight="1">
      <c r="A3" s="17">
        <v>2</v>
      </c>
      <c r="B3" s="17" t="s">
        <v>295</v>
      </c>
      <c r="C3" s="13" t="s">
        <v>296</v>
      </c>
      <c r="D3" s="17" t="s">
        <v>67</v>
      </c>
      <c r="E3" s="13"/>
      <c r="F3" s="14" t="s">
        <v>156</v>
      </c>
      <c r="G3" s="17" t="s">
        <v>216</v>
      </c>
      <c r="H3" s="17" t="s">
        <v>217</v>
      </c>
      <c r="I3" s="17" t="s">
        <v>217</v>
      </c>
      <c r="J3" s="13"/>
      <c r="K3" s="13" t="s">
        <v>297</v>
      </c>
    </row>
    <row r="4" spans="1:11" ht="46.5">
      <c r="A4" s="17">
        <v>3</v>
      </c>
      <c r="B4" s="17" t="s">
        <v>446</v>
      </c>
      <c r="C4" s="13" t="s">
        <v>440</v>
      </c>
      <c r="D4" s="17" t="s">
        <v>67</v>
      </c>
      <c r="E4" s="13"/>
      <c r="F4" s="14" t="s">
        <v>156</v>
      </c>
      <c r="G4" s="17" t="s">
        <v>216</v>
      </c>
      <c r="H4" s="17" t="s">
        <v>441</v>
      </c>
      <c r="I4" s="17" t="s">
        <v>441</v>
      </c>
      <c r="J4" s="13"/>
      <c r="K4" s="13" t="s">
        <v>442</v>
      </c>
    </row>
    <row r="5" spans="1:11" ht="69.75">
      <c r="A5" s="17">
        <v>4</v>
      </c>
      <c r="B5" s="17" t="s">
        <v>447</v>
      </c>
      <c r="C5" s="13" t="s">
        <v>443</v>
      </c>
      <c r="D5" s="17" t="s">
        <v>67</v>
      </c>
      <c r="E5" s="13"/>
      <c r="F5" s="14" t="s">
        <v>156</v>
      </c>
      <c r="G5" s="17" t="s">
        <v>216</v>
      </c>
      <c r="H5" s="17" t="s">
        <v>444</v>
      </c>
      <c r="I5" s="17" t="s">
        <v>441</v>
      </c>
      <c r="J5" s="13"/>
      <c r="K5" s="13" t="s">
        <v>445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Defect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2026-10-09T19:16:03Z</dcterms:modified>
</cp:coreProperties>
</file>