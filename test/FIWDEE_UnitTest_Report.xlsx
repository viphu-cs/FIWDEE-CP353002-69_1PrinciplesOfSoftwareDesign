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7E9E9B8E-352F-4837-96A2-587992B4F267}" xr6:coauthVersionLast="47" xr6:coauthVersionMax="47" xr10:uidLastSave="{00000000-0000-0000-0000-000000000000}"/>
  <bookViews>
    <workbookView xWindow="-120" yWindow="-120" windowWidth="29040" windowHeight="15720" activeTab="1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</sheets>
  <externalReferences>
    <externalReference r:id="rId21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2" i="1" l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F23" i="1" s="1" a="1"/>
  <c r="E4" i="1"/>
  <c r="E23" i="1" s="1" a="1"/>
  <c r="D4" i="1"/>
  <c r="D23" i="1" s="1" a="1"/>
  <c r="G5" i="1"/>
  <c r="G23" i="1" s="1" a="1"/>
  <c r="F5" i="1"/>
  <c r="H5" i="1"/>
  <c r="H23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<sst xmlns="http://schemas.openxmlformats.org/spreadsheetml/2006/main" count="2874" uniqueCount="1123">
  <si>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</si>
  <si>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</si>
  <si>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</si>
  <si>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</si>
  <si>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</si>
  <si>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</si>
  <si>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</si>
  <si>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</si>
  <si>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</si>
  <si>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</si>
  <si>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</si>
  <si>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</si>
  <si>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</si>
  <si>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</si>
  <si>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</si>
  <si>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</si>
  <si>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</si>
  <si>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</si>
  <si>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</si>
  <si>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</si>
  <si>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</si>
  <si>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</si>
  <si>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</si>
  <si>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</si>
  <si>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</si>
  <si>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</si>
  <si>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</si>
  <si>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</si>
  <si>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</si>
  <si>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</si>
  <si>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</si>
  <si>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</si>
  <si>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</si>
  <si>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</si>
  <si>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</si>
  <si>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</si>
  <si>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</si>
  <si>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</si>
  <si>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</si>
  <si>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</si>
  <si>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</si>
  <si>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</si>
  <si>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</si>
  <si>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</si>
  <si>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</si>
  <si>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</si>
  <si>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</si>
  <si>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</si>
  <si>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</si>
  <si>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</si>
  <si>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</si>
  <si>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</si>
  <si>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</si>
  <si>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</si>
  <si>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</si>
  <si>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</si>
  <si>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</si>
  <si>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</si>
  <si>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</si>
  <si>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</si>
  <si>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</si>
  <si>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</si>
  <si>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</si>
  <si>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</si>
  <si>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</si>
  <si>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</si>
  <si>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</si>
  <si>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</si>
  <si>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</si>
  <si>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</si>
  <si>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</si>
  <si>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</si>
  <si>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</si>
  <si>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</si>
  <si>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</si>
  <si>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</si>
  <si>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</si>
  <si>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</si>
  <si>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</si>
  <si>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</si>
  <si>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</si>
  <si>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</si>
  <si>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</si>
  <si>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</si>
  <si>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</si>
  <si>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</si>
  <si>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</si>
  <si>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</si>
  <si>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</si>
  <si>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</si>
  <si>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</si>
  <si>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</si>
  <si>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</si>
  <si>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</si>
  <si>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</si>
  <si>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</si>
  <si>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</si>
  <si>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</si>
  <si>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</si>
  <si>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</si>
  <si>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</si>
  <si>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</si>
  <si>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</si>
  <si>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</si>
  <si>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</si>
  <si>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</si>
  <si>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</si>
  <si>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</si>
  <si>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</si>
  <si>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</si>
  <si>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</si>
  <si>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</si>
  <si>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</si>
  <si>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</si>
  <si>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</si>
  <si>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</si>
  <si>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</si>
  <si>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</si>
  <si>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</si>
  <si>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</si>
  <si>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</si>
  <si>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</si>
  <si>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</si>
  <si>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</si>
  <si>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</si>
  <si>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</si>
  <si>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</si>
  <si>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</si>
  <si>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</si>
  <si>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</si>
  <si>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</si>
  <si>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</si>
  <si>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</si>
  <si>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</si>
  <si>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</si>
  <si>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</si>
  <si>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</si>
  <si>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</si>
  <si>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</si>
  <si>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</si>
  <si>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</si>
  <si>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</si>
  <si>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</si>
  <si>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</si>
  <si>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</si>
  <si>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</si>
  <si>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</si>
  <si>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</si>
  <si>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</si>
  <si>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</si>
  <si>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</si>
  <si>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</si>
  <si>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</si>
  <si>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</si>
  <si>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</si>
  <si>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</si>
  <si>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</si>
  <si>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</si>
  <si>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</si>
  <si>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</si>
  <si>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</si>
  <si>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</si>
  <si>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</si>
  <si>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</si>
  <si>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</si>
  <si>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</si>
  <si>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</si>
  <si>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</si>
  <si>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</si>
  <si>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</si>
  <si>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</si>
  <si>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</si>
  <si>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</si>
  <si>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</si>
  <si>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</si>
  <si>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</si>
  <si>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</si>
  <si>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</si>
  <si>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</si>
  <si>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</si>
  <si>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</si>
  <si>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</si>
  <si>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</si>
  <si>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</si>
  <si>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</si>
  <si>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</si>
  <si>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</si>
  <si>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</si>
  <si>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</si>
  <si>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</si>
  <si>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</si>
  <si>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</si>
  <si>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</si>
  <si>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</si>
  <si>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</si>
  <si>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</si>
  <si>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</si>
  <si>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</si>
  <si>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</si>
  <si>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</si>
  <si>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</si>
  <si>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</si>
  <si>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</si>
  <si>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</si>
  <si>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</si>
  <si>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</si>
  <si>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</si>
  <si>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</si>
  <si>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</si>
  <si>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</si>
  <si>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</si>
  <si>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</si>
  <si>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</si>
  <si>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</si>
  <si>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</si>
  <si>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</si>
  <si>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</si>
  <si>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</si>
  <si>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</si>
  <si>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</si>
  <si>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</si>
  <si>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</si>
  <si>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</si>
  <si>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</si>
  <si>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</si>
  <si>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</si>
  <si>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</si>
  <si>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</si>
  <si>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</si>
  <si>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</si>
  <si>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</si>
  <si>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</si>
  <si>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</si>
  <si>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</si>
  <si>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</si>
  <si>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</si>
  <si>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</si>
  <si>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</si>
  <si>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</si>
  <si>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</si>
  <si>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</si>
  <si>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</si>
  <si>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</si>
  <si>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</si>
  <si>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</si>
  <si>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</si>
  <si>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</si>
  <si>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</si>
  <si>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</si>
  <si>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</si>
  <si>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</si>
  <si>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</si>
  <si>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</si>
  <si>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</si>
  <si>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</si>
  <si>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</si>
  <si>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</si>
  <si>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</si>
  <si>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</si>
  <si>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</si>
  <si>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</si>
  <si>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</si>
  <si>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</si>
  <si>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</si>
  <si>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</si>
  <si>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</si>
  <si>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</si>
  <si>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</si>
  <si>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</si>
  <si>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</si>
  <si>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</si>
  <si>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</si>
  <si>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</si>
  <si>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</si>
  <si>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</si>
  <si>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</si>
  <si>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</si>
  <si>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</si>
  <si>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</si>
  <si>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</si>
  <si>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</si>
  <si>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</si>
  <si>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</si>
  <si>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</si>
  <si>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</si>
  <si>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</si>
  <si>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</si>
  <si>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</si>
  <si>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</si>
  <si>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</si>
  <si>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</si>
  <si>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</si>
  <si>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</si>
  <si>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</si>
  <si>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</si>
  <si>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</si>
  <si>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</si>
  <si>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</si>
  <si>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</si>
  <si>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</si>
  <si>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</si>
  <si>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</si>
  <si>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</si>
  <si>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</si>
  <si>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</si>
  <si>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</si>
  <si>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</si>
  <si>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</si>
  <si>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</si>
  <si>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</si>
  <si>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</si>
  <si>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</si>
  <si>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</si>
  <si>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</si>
  <si>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</si>
  <si>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</si>
  <si>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</si>
  <si>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</si>
  <si>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</si>
  <si>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</si>
  <si>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</si>
  <si>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</si>
  <si>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</si>
  <si>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</si>
  <si>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</si>
  <si>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</si>
  <si>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</si>
  <si>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</si>
  <si>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</si>
  <si>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</si>
  <si>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</si>
  <si>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</si>
  <si>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</si>
  <si>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</si>
  <si>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</si>
  <si>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</si>
  <si>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</si>
  <si>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</si>
  <si>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</si>
  <si>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</si>
  <si>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</si>
  <si>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</si>
  <si>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</si>
  <si>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</si>
  <si>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</si>
  <si>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</si>
  <si>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</si>
  <si>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</si>
  <si>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</si>
  <si>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</si>
  <si>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</si>
  <si>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</si>
  <si>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</si>
  <si>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</si>
  <si>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</si>
  <si>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</si>
  <si>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</si>
  <si>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</si>
  <si>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</si>
  <si>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</si>
  <si>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</si>
  <si>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</si>
  <si>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</si>
  <si>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</si>
  <si>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</si>
  <si>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</si>
  <si>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</si>
  <si>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</si>
  <si>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</si>
  <si>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</si>
  <si>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</si>
  <si>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</si>
  <si>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</si>
  <si>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</si>
  <si>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</si>
  <si>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</si>
  <si>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</si>
  <si>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</si>
  <si>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</si>
  <si>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</si>
  <si>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</si>
  <si>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</si>
  <si>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</si>
  <si>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</si>
  <si>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</si>
  <si>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</si>
  <si>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</si>
  <si>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</si>
  <si>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</si>
  <si>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</si>
  <si>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</si>
  <si>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</si>
  <si>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</si>
  <si>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</si>
  <si>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</si>
  <si>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</si>
  <si>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</si>
  <si>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</si>
  <si>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</si>
  <si>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</si>
  <si>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</si>
  <si>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</si>
  <si>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</si>
  <si>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</si>
  <si>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</si>
  <si>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</si>
  <si>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</si>
  <si>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</si>
  <si>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</si>
  <si>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</si>
  <si>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</si>
  <si>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</si>
  <si>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</si>
  <si>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</si>
  <si>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</si>
  <si>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</si>
  <si>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</si>
  <si>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</si>
  <si>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</si>
  <si>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</si>
  <si>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</si>
  <si>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</si>
  <si>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</si>
  <si>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</si>
  <si>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</si>
  <si>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</si>
  <si>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</si>
  <si>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</si>
  <si>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</si>
  <si>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</si>
  <si>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</si>
  <si>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</si>
  <si>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</si>
  <si>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</si>
  <si>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</si>
  <si>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</si>
  <si>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</si>
  <si>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</si>
  <si>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</si>
  <si>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</si>
  <si>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</si>
  <si>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</si>
  <si>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</si>
  <si>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</si>
  <si>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</si>
  <si>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</si>
  <si>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</si>
  <si>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</si>
  <si>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</si>
  <si>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</si>
  <si>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</si>
  <si>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</si>
  <si>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</si>
  <si>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</si>
  <si>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</si>
  <si>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</si>
  <si>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</si>
  <si>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</si>
  <si>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</si>
  <si>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</si>
  <si>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</si>
  <si>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</si>
  <si>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</si>
  <si>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</si>
  <si>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</si>
  <si>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</si>
  <si>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</si>
  <si>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</si>
  <si>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</si>
  <si>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</si>
  <si>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</si>
  <si>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</si>
  <si>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</si>
  <si>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</si>
  <si>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</si>
  <si>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</si>
  <si>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</si>
  <si>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</si>
  <si>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</si>
  <si>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</si>
  <si>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</si>
  <si>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</si>
  <si>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</si>
  <si>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</si>
  <si>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</si>
  <si>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</si>
  <si>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</si>
  <si>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</si>
  <si>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</si>
  <si>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</si>
  <si>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</si>
  <si>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</si>
  <si>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</si>
  <si>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</si>
  <si>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</si>
  <si>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</si>
  <si>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</si>
  <si>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</si>
  <si>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</si>
  <si>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</si>
  <si>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</si>
  <si>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</si>
  <si>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</si>
  <si>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</si>
  <si>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</si>
  <si>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</si>
  <si>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</si>
  <si>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</si>
  <si>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</si>
  <si>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</si>
  <si>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</si>
  <si>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</si>
  <si>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</si>
  <si>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</si>
  <si>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</si>
  <si>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</si>
  <si>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</si>
  <si>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</si>
  <si>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</si>
  <si>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</si>
  <si>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</si>
  <si>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</si>
  <si>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</si>
  <si>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</si>
  <si>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</si>
  <si>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</si>
  <si>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</si>
  <si>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</si>
  <si>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</si>
  <si>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</si>
  <si>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</si>
  <si>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</si>
  <si>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</si>
  <si>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</si>
  <si>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</si>
  <si>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</si>
  <si>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</si>
  <si>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</si>
  <si>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</si>
  <si>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</si>
  <si>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</si>
  <si>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</si>
  <si>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</si>
  <si>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</si>
  <si>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</si>
  <si>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</si>
  <si>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</si>
  <si>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</si>
  <si>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</si>
  <si>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</si>
  <si>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</si>
  <si>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</si>
  <si>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</si>
  <si>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</si>
  <si>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</si>
  <si>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</si>
  <si>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</si>
  <si>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</si>
  <si>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</si>
  <si>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</si>
  <si>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</si>
  <si>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</si>
  <si>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</si>
  <si>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</si>
  <si>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</si>
  <si>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</si>
  <si>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</si>
  <si>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</si>
  <si>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</si>
  <si>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</si>
  <si>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</si>
  <si>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</si>
  <si>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</si>
  <si>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</si>
  <si>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</si>
  <si>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</si>
  <si>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</si>
  <si>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</si>
  <si>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</si>
  <si>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</si>
  <si>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</si>
  <si>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</si>
  <si>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</si>
  <si>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</si>
  <si>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</si>
  <si>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</si>
  <si>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</si>
  <si>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</si>
  <si>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</si>
  <si>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</si>
  <si>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</si>
  <si>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</si>
  <si>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</si>
  <si>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</si>
  <si>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</si>
  <si>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</si>
  <si>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</si>
  <si>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</si>
  <si>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</si>
  <si>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</si>
  <si>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</si>
  <si>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</si>
  <si>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</si>
  <si>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</si>
  <si>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</si>
  <si>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</si>
  <si>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</si>
  <si>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</si>
  <si>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</si>
  <si>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</si>
  <si>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</si>
  <si>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</si>
  <si>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</si>
  <si>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</si>
  <si>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</si>
  <si>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</si>
  <si>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</si>
  <si>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</si>
  <si>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</si>
  <si>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</si>
  <si>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</si>
  <si>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</si>
  <si>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</si>
  <si>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</si>
  <si>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</si>
  <si>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</si>
  <si>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</si>
  <si>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</si>
  <si>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</si>
  <si>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</si>
  <si>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</si>
  <si>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</si>
  <si>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</si>
  <si>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</si>
  <si>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</si>
  <si>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</si>
  <si>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</si>
  <si>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</si>
  <si>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</si>
  <si>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</si>
  <si>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</si>
  <si>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</si>
  <si>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</si>
  <si>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</si>
  <si>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</si>
  <si>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</si>
  <si>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</si>
  <si>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</si>
  <si>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</si>
  <si>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</si>
  <si>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</si>
  <si>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</si>
  <si>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</si>
  <si>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</si>
  <si>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</si>
  <si>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</si>
  <si>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</si>
  <si>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</si>
  <si>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</si>
  <si>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</si>
  <si>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</si>
  <si>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</si>
  <si>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</si>
  <si>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</si>
  <si>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</si>
  <si>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</si>
  <si>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</si>
  <si>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</si>
  <si>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</si>
  <si>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</si>
  <si>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</si>
  <si>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</si>
  <si>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</si>
  <si>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</si>
  <si>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</si>
  <si>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</si>
  <si>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</si>
  <si>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</si>
  <si>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</si>
  <si>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</si>
  <si>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</si>
  <si>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</si>
  <si>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</si>
  <si>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</si>
  <si>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</si>
  <si>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</si>
  <si>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</si>
  <si>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</si>
  <si>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</si>
  <si>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</si>
  <si>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</si>
  <si>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</si>
  <si>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</si>
  <si>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</si>
  <si>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</si>
  <si>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</si>
  <si>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</si>
  <si>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</si>
  <si>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</si>
  <si>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</si>
  <si>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</si>
  <si>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</si>
  <si>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</si>
  <si>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</si>
  <si>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</si>
  <si>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</si>
  <si>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</si>
  <si>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</si>
  <si>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</si>
  <si>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</si>
  <si>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</si>
  <si>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</si>
  <si>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</si>
  <si>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</si>
  <si>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</si>
  <si>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</si>
  <si>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</si>
  <si>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</si>
  <si>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</si>
  <si>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</si>
  <si>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</si>
  <si>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</si>
  <si>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</si>
  <si>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</si>
  <si>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</si>
  <si>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</si>
  <si>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</si>
  <si>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</si>
  <si>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</si>
  <si>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</si>
  <si>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</si>
  <si>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</si>
  <si>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</si>
  <si>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</si>
  <si>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</si>
  <si>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</si>
  <si>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</si>
  <si>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</si>
  <si>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</si>
  <si>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</si>
  <si>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</si>
  <si>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</si>
  <si>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</si>
  <si>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DEF-012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</si>
  <si>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</si>
  <si>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</si>
  <si>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</si>
  <si>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</si>
  <si>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</si>
  <si>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</si>
  <si>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</si>
  <si>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</si>
  <si>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</si>
  <si>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</si>
  <si>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</si>
  <si>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</si>
  <si>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</si>
  <si>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</si>
  <si>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</si>
  <si>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</si>
  <si>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</si>
  <si>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</si>
  <si>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</si>
  <si>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</si>
  <si>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</si>
  <si>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</si>
  <si>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</si>
  <si>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</si>
  <si>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</si>
  <si>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</si>
  <si>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</si>
  <si>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</si>
  <si>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</si>
  <si>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</si>
  <si>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</si>
  <si>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</si>
  <si>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</si>
  <si>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</si>
  <si>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</si>
  <si>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</si>
  <si>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</si>
  <si>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</si>
  <si>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</si>
  <si>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</si>
  <si>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</si>
  <si>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</si>
  <si>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</si>
  <si>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</si>
  <si>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</si>
  <si>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</si>
  <si>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</si>
  <si>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</si>
  <si>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</si>
  <si>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</si>
  <si>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</si>
  <si>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</si>
  <si>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</si>
  <si>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</si>
  <si>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</si>
  <si>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</si>
  <si>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</si>
  <si>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</si>
  <si>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</si>
  <si>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</si>
  <si>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</si>
  <si>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</si>
  <si>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</si>
  <si>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</si>
  <si>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</si>
  <si>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</si>
  <si>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</si>
  <si>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</si>
  <si>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</si>
  <si>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</si>
  <si>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</si>
  <si>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</si>
  <si>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</si>
  <si>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</si>
  <si>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</si>
  <si>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</si>
  <si>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</si>
  <si>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</si>
  <si>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</si>
  <si>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</si>
  <si>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</si>
  <si>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</si>
  <si>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</si>
  <si>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</si>
  <si>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</si>
  <si>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</si>
  <si>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</si>
  <si>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</si>
  <si>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</si>
  <si>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</si>
  <si>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</si>
  <si>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</si>
  <si>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</si>
  <si>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</si>
  <si>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</si>
  <si>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</si>
  <si>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</si>
  <si>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</si>
  <si>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</si>
  <si>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DEF-001, DEF-002, DEF-003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</si>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</sst>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54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0">
          <cell r="B30" t="str">
            <v>UT13-TC001</v>
          </cell>
          <cell r="H30" t="str">
            <v>No run</v>
          </cell>
        </row>
        <row r="31">
          <cell r="B31" t="str">
            <v>UT13-TC002</v>
          </cell>
          <cell r="H31" t="str">
            <v>No run</v>
          </cell>
        </row>
        <row r="32">
          <cell r="B32" t="str">
            <v>UT13-TC003</v>
          </cell>
          <cell r="H32" t="str">
            <v>No run</v>
          </cell>
        </row>
        <row r="33">
          <cell r="B33" t="str">
            <v>UT13-TC004</v>
          </cell>
          <cell r="H33" t="str">
            <v>No run</v>
          </cell>
        </row>
        <row r="34">
          <cell r="B34" t="str">
            <v>UT13-TC005</v>
          </cell>
          <cell r="H34" t="str">
            <v>No run</v>
          </cell>
        </row>
        <row r="35">
          <cell r="B35" t="str">
            <v>UT13-TC006</v>
          </cell>
          <cell r="H35" t="str">
            <v>No run</v>
          </cell>
        </row>
        <row r="36">
          <cell r="B36" t="str">
            <v>UT13-TC007</v>
          </cell>
          <cell r="H36" t="str">
            <v>No run</v>
          </cell>
        </row>
        <row r="37">
          <cell r="B37" t="str">
            <v>UT13-TC008</v>
          </cell>
          <cell r="H37" t="str">
            <v>No run</v>
          </cell>
        </row>
      </sheetData>
      <sheetData sheetId="16">
        <row r="23">
          <cell r="A23" t="str">
            <v>UT14-TC001</v>
          </cell>
          <cell r="G23" t="str">
            <v>No run</v>
          </cell>
        </row>
        <row r="24">
          <cell r="A24" t="str">
            <v>UT14-TC002</v>
          </cell>
          <cell r="G24" t="str">
            <v>No run</v>
          </cell>
        </row>
        <row r="25">
          <cell r="A25" t="str">
            <v>UT14-TC003</v>
          </cell>
          <cell r="G25" t="str">
            <v>No run</v>
          </cell>
        </row>
        <row r="26">
          <cell r="A26" t="str">
            <v>UT14-TC004</v>
          </cell>
          <cell r="G26" t="str">
            <v>No run</v>
          </cell>
        </row>
        <row r="27">
          <cell r="A27" t="str">
            <v>UT14-TC005</v>
          </cell>
          <cell r="G27" t="str">
            <v>No run</v>
          </cell>
        </row>
        <row r="28">
          <cell r="A28" t="str">
            <v>UT14-TC006</v>
          </cell>
          <cell r="G28" t="str">
            <v>No run</v>
          </cell>
        </row>
        <row r="29">
          <cell r="A29" t="str">
            <v>UT14-TC007</v>
          </cell>
          <cell r="G29" t="str">
            <v>No run</v>
          </cell>
        </row>
        <row r="30">
          <cell r="A30" t="str">
            <v>UT14-TC008</v>
          </cell>
          <cell r="G30" t="str">
            <v>No run</v>
          </cell>
        </row>
        <row r="31">
          <cell r="A31" t="str">
            <v>UT14-TC009</v>
          </cell>
          <cell r="G31" t="str">
            <v>No run</v>
          </cell>
        </row>
        <row r="32">
          <cell r="A32" t="str">
            <v>UT14-TC010</v>
          </cell>
          <cell r="G32" t="str">
            <v>No run</v>
          </cell>
        </row>
        <row r="33">
          <cell r="A33" t="str">
            <v>UT14-TC011</v>
          </cell>
          <cell r="G33" t="str">
            <v>No run</v>
          </cell>
        </row>
      </sheetData>
      <sheetData sheetId="17">
        <row r="12">
          <cell r="A12" t="str">
            <v>UT15-TC001</v>
          </cell>
          <cell r="F12" t="str">
            <v>No run</v>
          </cell>
        </row>
        <row r="13">
          <cell r="A13" t="str">
            <v>UT15-TC002</v>
          </cell>
          <cell r="F13" t="str">
            <v>No run</v>
          </cell>
        </row>
        <row r="14">
          <cell r="A14" t="str">
            <v>UT15-TC003</v>
          </cell>
          <cell r="F14" t="str">
            <v>No run</v>
          </cell>
        </row>
        <row r="15">
          <cell r="A15" t="str">
            <v>UT15-TC004</v>
          </cell>
          <cell r="F15" t="str">
            <v>No run</v>
          </cell>
        </row>
        <row r="16">
          <cell r="A16" t="str">
            <v>UT15-TC005</v>
          </cell>
          <cell r="F16" t="str">
            <v>No run</v>
          </cell>
        </row>
        <row r="17">
          <cell r="A17" t="str">
            <v>UT15-TC006</v>
          </cell>
          <cell r="F17" t="str">
            <v>No run</v>
          </cell>
        </row>
        <row r="18">
          <cell r="A18" t="str">
            <v>UT15-TC007</v>
          </cell>
          <cell r="F18" t="str">
            <v>No run</v>
          </cell>
        </row>
        <row r="19">
          <cell r="A19" t="str">
            <v>UT15-TC008</v>
          </cell>
          <cell r="F19" t="str">
            <v>No run</v>
          </cell>
        </row>
        <row r="20">
          <cell r="A20" t="str">
            <v>UT15-TC009</v>
          </cell>
          <cell r="F20" t="str">
            <v>No run</v>
          </cell>
        </row>
        <row r="21">
          <cell r="A21" t="str">
            <v>UT15-TC010</v>
          </cell>
          <cell r="F21" t="str">
            <v>No run</v>
          </cell>
        </row>
        <row r="22">
          <cell r="A22" t="str">
            <v>UT15-TC011</v>
          </cell>
          <cell r="F22" t="str">
            <v>No run</v>
          </cell>
        </row>
        <row r="23">
          <cell r="A23" t="str">
            <v>UT15-TC012</v>
          </cell>
          <cell r="F23" t="str">
            <v>No run</v>
          </cell>
        </row>
        <row r="24">
          <cell r="A24" t="str">
            <v>UT15-TC013</v>
          </cell>
          <cell r="F24" t="str">
            <v>No run</v>
          </cell>
        </row>
        <row r="25">
          <cell r="A25" t="str">
            <v>UT15-TC014</v>
          </cell>
          <cell r="F25" t="str">
            <v>No run</v>
          </cell>
        </row>
      </sheetData>
      <sheetData sheetId="18">
        <row r="20">
          <cell r="A20" t="str">
            <v>UT16-TC001</v>
          </cell>
          <cell r="F20" t="str">
            <v>No run</v>
          </cell>
        </row>
        <row r="21">
          <cell r="A21" t="str">
            <v>UT16-TC002</v>
          </cell>
          <cell r="F21" t="str">
            <v>No run</v>
          </cell>
        </row>
        <row r="22">
          <cell r="A22" t="str">
            <v>UT16-TC003</v>
          </cell>
          <cell r="F22" t="str">
            <v>No run</v>
          </cell>
        </row>
        <row r="23">
          <cell r="A23" t="str">
            <v>UT16-TC004</v>
          </cell>
          <cell r="F23" t="str">
            <v>No run</v>
          </cell>
        </row>
        <row r="24">
          <cell r="A24" t="str">
            <v>UT16-TC005</v>
          </cell>
          <cell r="F24" t="str">
            <v>No run</v>
          </cell>
        </row>
        <row r="25">
          <cell r="A25" t="str">
            <v>UT16-TC006</v>
          </cell>
          <cell r="F25" t="str">
            <v>No run</v>
          </cell>
        </row>
        <row r="26">
          <cell r="A26" t="str">
            <v>UT16-TC007</v>
          </cell>
          <cell r="F26" t="str">
            <v>No run</v>
          </cell>
        </row>
        <row r="27">
          <cell r="A27" t="str">
            <v>UT16-TC008</v>
          </cell>
          <cell r="F27" t="str">
            <v>No run</v>
          </cell>
        </row>
        <row r="28">
          <cell r="A28" t="str">
            <v>UT16-TC009</v>
          </cell>
          <cell r="F28" t="str">
            <v>No run</v>
          </cell>
        </row>
      </sheetData>
      <sheetData sheetId="19">
        <row r="20">
          <cell r="A20" t="str">
            <v>UT17-TC001</v>
          </cell>
          <cell r="F20" t="str">
            <v>No run</v>
          </cell>
        </row>
        <row r="21">
          <cell r="A21" t="str">
            <v>UT17-TC002</v>
          </cell>
          <cell r="F21" t="str">
            <v>No run</v>
          </cell>
        </row>
        <row r="22">
          <cell r="A22" t="str">
            <v>UT17-TC003</v>
          </cell>
          <cell r="F22" t="str">
            <v>No run</v>
          </cell>
        </row>
        <row r="23">
          <cell r="A23" t="str">
            <v>UT17-TC004</v>
          </cell>
          <cell r="F23" t="str">
            <v>No run</v>
          </cell>
        </row>
        <row r="24">
          <cell r="A24" t="str">
            <v>UT17-TC005</v>
          </cell>
          <cell r="F24" t="str">
            <v>No run</v>
          </cell>
        </row>
        <row r="25">
          <cell r="A25" t="str">
            <v>UT17-TC006</v>
          </cell>
          <cell r="F25" t="str">
            <v>No run</v>
          </cell>
        </row>
        <row r="26">
          <cell r="A26" t="str">
            <v>UT17-TC007</v>
          </cell>
          <cell r="F26" t="str">
            <v>No run</v>
          </cell>
        </row>
        <row r="27">
          <cell r="A27" t="str">
            <v>UT17-TC008</v>
          </cell>
          <cell r="F27" t="str">
            <v>No run</v>
          </cell>
        </row>
      </sheetData>
      <sheetData sheetId="20">
        <row r="21">
          <cell r="A21" t="str">
            <v>UT18-TC001</v>
          </cell>
          <cell r="F21" t="str">
            <v>No run</v>
          </cell>
        </row>
        <row r="22">
          <cell r="A22" t="str">
            <v>UT18-TC002</v>
          </cell>
          <cell r="F22" t="str">
            <v>No run</v>
          </cell>
        </row>
        <row r="23">
          <cell r="A23" t="str">
            <v>UT18-TC003</v>
          </cell>
          <cell r="F23" t="str">
            <v>No run</v>
          </cell>
        </row>
        <row r="24">
          <cell r="A24" t="str">
            <v>UT18-TC004</v>
          </cell>
          <cell r="F24" t="str">
            <v>No run</v>
          </cell>
        </row>
        <row r="25">
          <cell r="A25" t="str">
            <v>UT18-TC005</v>
          </cell>
          <cell r="F25" t="str">
            <v>No run</v>
          </cell>
        </row>
        <row r="26">
          <cell r="A26" t="str">
            <v>UT18-TC006</v>
          </cell>
          <cell r="F26" t="str">
            <v>No run</v>
          </cell>
        </row>
        <row r="27">
          <cell r="A27" t="str">
            <v>UT18-TC007</v>
          </cell>
          <cell r="F27" t="str">
            <v>No run</v>
          </cell>
        </row>
        <row r="28">
          <cell r="A28" t="str">
            <v>UT18-TC008</v>
          </cell>
          <cell r="F28" t="str">
            <v>No run</v>
          </cell>
        </row>
        <row r="29">
          <cell r="A29" t="str">
            <v>UT18-TC009</v>
          </cell>
          <cell r="F29" t="str">
            <v>No run</v>
          </cell>
        </row>
        <row r="30">
          <cell r="A30" t="str">
            <v>UT18-TC010</v>
          </cell>
          <cell r="F30" t="str">
            <v>No run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23"/>
  <sheetViews>
    <sheetView topLeftCell="A13" workbookViewId="0">
      <selection activeCell="L18" sqref="L18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9" ht="64.5" customHeight="1">
      <c r="A14" s="3">
        <v>11</v>
      </c>
      <c r="B14" s="4" t="s">
        <v>744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745</v>
      </c>
    </row>
    <row r="15" spans="1:9" ht="64.5" customHeight="1">
      <c r="A15" s="3">
        <v>12</v>
      </c>
      <c r="B15" s="4" t="s">
        <v>746</v>
      </c>
      <c r="C15" s="4" t="s">
        <v>747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841</v>
      </c>
      <c r="C17" s="4" t="s">
        <v>221</v>
      </c>
      <c r="D17" s="3">
        <f>COUNTA([1]UT13_ProcessPayment_DT!$B$30:$B$37)</f>
        <v>8</v>
      </c>
      <c r="E17" s="3">
        <f>COUNTIF([1]UT13_ProcessPayment_DT!$H$30:$H$37,"Pass")</f>
        <v>0</v>
      </c>
      <c r="F17" s="3">
        <f>COUNTIF([1]UT13_ProcessPayment_DT!$H$30:$H$37,"Fail")</f>
        <v>0</v>
      </c>
      <c r="G17" s="3">
        <f>COUNTIF([1]UT13_ProcessPayment_DT!$H$30:$H$37,"No run")</f>
        <v>8</v>
      </c>
      <c r="H17" s="3">
        <f>COUNTIF([1]UT13_ProcessPayment_DT!$H$30:$H$37,"Block")</f>
        <v>0</v>
      </c>
      <c r="I17" s="4"/>
    </row>
    <row r="18" spans="1:9" ht="42">
      <c r="A18" s="3">
        <v>14</v>
      </c>
      <c r="B18" s="4" t="s">
        <v>842</v>
      </c>
      <c r="C18" s="4" t="s">
        <v>12</v>
      </c>
      <c r="D18" s="3">
        <f>COUNTA([1]UT14_Payment_Promo_Status_EC!$A$23:$A$33)</f>
        <v>11</v>
      </c>
      <c r="E18" s="3">
        <f>COUNTIF([1]UT14_Payment_Promo_Status_EC!$G$23:$G$33,"Pass")</f>
        <v>0</v>
      </c>
      <c r="F18" s="3">
        <f>COUNTIF([1]UT14_Payment_Promo_Status_EC!$G$23:$G$33,"Fail")</f>
        <v>0</v>
      </c>
      <c r="G18" s="3">
        <f>COUNTIF([1]UT14_Payment_Promo_Status_EC!$G$23:$G$33,"No run")</f>
        <v>11</v>
      </c>
      <c r="H18" s="3">
        <f>COUNTIF([1]UT14_Payment_Promo_Status_EC!$G$23:$G$33,"Block")</f>
        <v>0</v>
      </c>
      <c r="I18" s="4" t="s">
        <v>843</v>
      </c>
    </row>
    <row r="19" spans="1:9" ht="21">
      <c r="A19" s="3">
        <v>15</v>
      </c>
      <c r="B19" s="4" t="s">
        <v>844</v>
      </c>
      <c r="C19" s="4" t="s">
        <v>294</v>
      </c>
      <c r="D19" s="3">
        <f>COUNTA([1]UT15_FixedDiscount_BVA!$A$12:$A$25)</f>
        <v>14</v>
      </c>
      <c r="E19" s="3">
        <f>COUNTIF([1]UT15_FixedDiscount_BVA!$F$12:$F$25,"Pass")</f>
        <v>0</v>
      </c>
      <c r="F19" s="3">
        <f>COUNTIF([1]UT15_FixedDiscount_BVA!$F$12:$F$25,"Fail")</f>
        <v>0</v>
      </c>
      <c r="G19" s="3">
        <f>COUNTIF([1]UT15_FixedDiscount_BVA!$F$12:$F$25,"No run")</f>
        <v>14</v>
      </c>
      <c r="H19" s="3">
        <f>COUNTIF([1]UT15_FixedDiscount_BVA!$F$12:$F$25,"Block")</f>
        <v>0</v>
      </c>
      <c r="I19" s="4"/>
    </row>
    <row r="20" spans="1:9" ht="21">
      <c r="A20" s="3">
        <v>16</v>
      </c>
      <c r="B20" s="4" t="s">
        <v>845</v>
      </c>
      <c r="C20" s="4" t="s">
        <v>12</v>
      </c>
      <c r="D20" s="3">
        <f>COUNTA([1]UT16_PercentDiscount_EC!$A$20:$A$28)</f>
        <v>9</v>
      </c>
      <c r="E20" s="3">
        <f>COUNTIF([1]UT16_PercentDiscount_EC!$F$20:$F$28,"Pass")</f>
        <v>0</v>
      </c>
      <c r="F20" s="3">
        <f>COUNTIF([1]UT16_PercentDiscount_EC!$F$20:$F$28,"Fail")</f>
        <v>0</v>
      </c>
      <c r="G20" s="3">
        <f>COUNTIF([1]UT16_PercentDiscount_EC!$F$20:$F$28,"No run")</f>
        <v>9</v>
      </c>
      <c r="H20" s="3">
        <f>COUNTIF([1]UT16_PercentDiscount_EC!$F$20:$F$28,"Block")</f>
        <v>0</v>
      </c>
      <c r="I20" s="4"/>
    </row>
    <row r="21" spans="1:9" ht="21">
      <c r="A21" s="3">
        <v>17</v>
      </c>
      <c r="B21" s="4" t="s">
        <v>846</v>
      </c>
      <c r="C21" s="4" t="s">
        <v>12</v>
      </c>
      <c r="D21" s="3">
        <f>COUNTA([1]UT17_DiscountFactory_EC!$A$20:$A$27)</f>
        <v>8</v>
      </c>
      <c r="E21" s="3">
        <f>COUNTIF([1]UT17_DiscountFactory_EC!$F$20:$F$27,"Pass")</f>
        <v>0</v>
      </c>
      <c r="F21" s="3">
        <f>COUNTIF([1]UT17_DiscountFactory_EC!$F$20:$F$27,"Fail")</f>
        <v>0</v>
      </c>
      <c r="G21" s="3">
        <f>COUNTIF([1]UT17_DiscountFactory_EC!$F$20:$F$27,"No run")</f>
        <v>8</v>
      </c>
      <c r="H21" s="3">
        <f>COUNTIF([1]UT17_DiscountFactory_EC!$F$20:$F$27,"Block")</f>
        <v>0</v>
      </c>
      <c r="I21" s="4"/>
    </row>
    <row r="22" spans="1:9" ht="42">
      <c r="A22" s="3">
        <v>18</v>
      </c>
      <c r="B22" s="4" t="s">
        <v>847</v>
      </c>
      <c r="C22" s="4" t="s">
        <v>848</v>
      </c>
      <c r="D22" s="3">
        <f>COUNTA([1]UT18_PaymentStrategy_EC!$A$21:$A$30)</f>
        <v>10</v>
      </c>
      <c r="E22" s="3">
        <f>COUNTIF([1]UT18_PaymentStrategy_EC!$F$21:$F$30,"Pass")</f>
        <v>0</v>
      </c>
      <c r="F22" s="3">
        <f>COUNTIF([1]UT18_PaymentStrategy_EC!$F$21:$F$30,"Fail")</f>
        <v>0</v>
      </c>
      <c r="G22" s="3">
        <f>COUNTIF([1]UT18_PaymentStrategy_EC!$F$21:$F$30,"No run")</f>
        <v>10</v>
      </c>
      <c r="H22" s="3">
        <f>COUNTIF([1]UT18_PaymentStrategy_EC!$F$21:$F$30,"Block")</f>
        <v>0</v>
      </c>
      <c r="I22" s="4"/>
    </row>
    <row r="23" spans="1:9" ht="21">
      <c r="A23" s="24" t="s">
        <v>13</v>
      </c>
      <c r="B23" s="24"/>
      <c r="C23" s="24"/>
      <c r="D23" s="5" cm="1">
        <f t="array" ref="D23">SUMPRODUCT(ISNUMBER(D4:D15)*D4:D15)</f>
        <v>149</v>
      </c>
      <c r="E23" s="6" cm="1">
        <f t="array" ref="E23">SUMPRODUCT(ISNUMBER(E4:E15)*E4:E15)</f>
        <v>140</v>
      </c>
      <c r="F23" s="7" cm="1">
        <f t="array" ref="F23">SUMPRODUCT(ISNUMBER(F4:F15)*F4:F15)</f>
        <v>9</v>
      </c>
      <c r="G23" s="5" cm="1">
        <f t="array" ref="G23">SUMPRODUCT(ISNUMBER(G4:G15)*G4:G15)</f>
        <v>0</v>
      </c>
      <c r="H23" s="5" cm="1">
        <f t="array" ref="H23">SUMPRODUCT(ISNUMBER(H4:H15)*H4:H15)</f>
        <v>0</v>
      </c>
      <c r="I23" s="4"/>
    </row>
  </sheetData>
  <mergeCells count="4">
    <mergeCell ref="A23:C23"/>
    <mergeCell ref="A1:F1"/>
    <mergeCell ref="A3:I3"/>
    <mergeCell ref="A16:I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0"/>
  <sheetViews>
    <sheetView tabSelected="1" workbookViewId="0">
      <selection activeCell="N10" sqref="N10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745</v>
      </c>
      <c r="C7" s="13" t="s">
        <v>839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840</v>
      </c>
    </row>
    <row r="8" spans="1:11" ht="69.75">
      <c r="A8" s="17">
        <v>7</v>
      </c>
      <c r="B8" s="17" t="s">
        <v>1119</v>
      </c>
      <c r="C8" s="13" t="s">
        <v>1115</v>
      </c>
      <c r="D8" s="17" t="s">
        <v>67</v>
      </c>
      <c r="E8" s="13"/>
      <c r="F8" s="14" t="s">
        <v>156</v>
      </c>
      <c r="G8" s="17" t="s">
        <v>216</v>
      </c>
      <c r="H8" s="17" t="s">
        <v>217</v>
      </c>
      <c r="I8" s="17" t="s">
        <v>217</v>
      </c>
      <c r="J8" s="13"/>
      <c r="K8" s="13" t="s">
        <v>1121</v>
      </c>
    </row>
    <row r="9" spans="1:11" ht="69.75">
      <c r="A9" s="17">
        <v>8</v>
      </c>
      <c r="B9" s="17" t="s">
        <v>1120</v>
      </c>
      <c r="C9" s="13" t="s">
        <v>1116</v>
      </c>
      <c r="D9" s="17" t="s">
        <v>67</v>
      </c>
      <c r="E9" s="13"/>
      <c r="F9" s="14" t="s">
        <v>156</v>
      </c>
      <c r="G9" s="17" t="s">
        <v>216</v>
      </c>
      <c r="H9" s="17" t="s">
        <v>441</v>
      </c>
      <c r="I9" s="17" t="s">
        <v>441</v>
      </c>
      <c r="J9" s="13"/>
      <c r="K9" s="13" t="s">
        <v>1117</v>
      </c>
    </row>
    <row r="10" spans="1:11" ht="46.5">
      <c r="A10" s="17">
        <v>9</v>
      </c>
      <c r="B10" s="17" t="s">
        <v>673</v>
      </c>
      <c r="C10" s="13" t="s">
        <v>1118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1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748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749</v>
      </c>
      <c r="C5" s="30"/>
      <c r="E5" s="11" t="s">
        <v>25</v>
      </c>
      <c r="F5" s="30" t="s">
        <v>750</v>
      </c>
      <c r="G5" s="30"/>
      <c r="H5" s="30"/>
      <c r="I5" s="30"/>
    </row>
    <row r="6" spans="1:9" ht="24" thickBot="1">
      <c r="A6" s="11" t="s">
        <v>27</v>
      </c>
      <c r="B6" s="30" t="s">
        <v>751</v>
      </c>
      <c r="C6" s="30"/>
      <c r="E6" s="11" t="s">
        <v>29</v>
      </c>
      <c r="F6" s="30" t="s">
        <v>752</v>
      </c>
      <c r="G6" s="30"/>
      <c r="H6" s="30"/>
      <c r="I6" s="30"/>
    </row>
    <row r="7" spans="1:9" ht="24" thickBot="1">
      <c r="A7" s="11" t="s">
        <v>31</v>
      </c>
      <c r="B7" s="30" t="s">
        <v>753</v>
      </c>
      <c r="C7" s="30"/>
    </row>
    <row r="8" spans="1:9" ht="24" thickBot="1">
      <c r="A8" s="11" t="s">
        <v>35</v>
      </c>
      <c r="B8" s="30" t="s">
        <v>754</v>
      </c>
      <c r="C8" s="30"/>
    </row>
    <row r="9" spans="1:9" ht="24" thickBot="1">
      <c r="A9" s="11" t="s">
        <v>39</v>
      </c>
      <c r="B9" s="30" t="s">
        <v>755</v>
      </c>
      <c r="C9" s="30"/>
    </row>
    <row r="10" spans="1:9" ht="24" thickBot="1">
      <c r="A10" s="11" t="s">
        <v>685</v>
      </c>
      <c r="B10" s="30" t="s">
        <v>756</v>
      </c>
      <c r="C10" s="30"/>
    </row>
    <row r="11" spans="1:9" ht="24" thickBot="1">
      <c r="A11" s="11" t="s">
        <v>686</v>
      </c>
      <c r="B11" s="30" t="s">
        <v>757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758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759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760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761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762</v>
      </c>
      <c r="B23" s="13" t="s">
        <v>763</v>
      </c>
      <c r="C23" s="13" t="s">
        <v>86</v>
      </c>
      <c r="D23" s="13" t="s">
        <v>764</v>
      </c>
      <c r="E23" s="13" t="s">
        <v>765</v>
      </c>
      <c r="F23" s="13" t="s">
        <v>790</v>
      </c>
      <c r="G23" s="17" t="s">
        <v>5</v>
      </c>
    </row>
    <row r="24" spans="1:9" ht="46.5">
      <c r="A24" s="16" t="s">
        <v>766</v>
      </c>
      <c r="B24" s="13" t="s">
        <v>93</v>
      </c>
      <c r="C24" s="13" t="s">
        <v>86</v>
      </c>
      <c r="D24" s="13" t="s">
        <v>767</v>
      </c>
      <c r="E24" s="13" t="s">
        <v>768</v>
      </c>
      <c r="F24" s="13" t="s">
        <v>788</v>
      </c>
      <c r="G24" s="17" t="s">
        <v>5</v>
      </c>
    </row>
    <row r="25" spans="1:9" ht="69.75">
      <c r="A25" s="16" t="s">
        <v>769</v>
      </c>
      <c r="B25" s="13" t="s">
        <v>763</v>
      </c>
      <c r="C25" s="13" t="s">
        <v>86</v>
      </c>
      <c r="D25" s="13" t="s">
        <v>770</v>
      </c>
      <c r="E25" s="13" t="s">
        <v>771</v>
      </c>
      <c r="F25" s="13" t="s">
        <v>740</v>
      </c>
      <c r="G25" s="17" t="s">
        <v>5</v>
      </c>
    </row>
    <row r="26" spans="1:9" ht="46.5">
      <c r="A26" s="16" t="s">
        <v>772</v>
      </c>
      <c r="B26" s="13" t="s">
        <v>763</v>
      </c>
      <c r="C26" s="13" t="s">
        <v>86</v>
      </c>
      <c r="D26" s="13" t="s">
        <v>773</v>
      </c>
      <c r="E26" s="13" t="s">
        <v>774</v>
      </c>
      <c r="F26" s="13" t="s">
        <v>789</v>
      </c>
      <c r="G26" s="17" t="s">
        <v>5</v>
      </c>
    </row>
    <row r="27" spans="1:9" ht="116.25">
      <c r="A27" s="16" t="s">
        <v>775</v>
      </c>
      <c r="B27" s="13" t="s">
        <v>763</v>
      </c>
      <c r="C27" s="13" t="s">
        <v>86</v>
      </c>
      <c r="D27" s="13" t="s">
        <v>776</v>
      </c>
      <c r="E27" s="13" t="s">
        <v>777</v>
      </c>
      <c r="F27" s="13" t="s">
        <v>791</v>
      </c>
      <c r="G27" s="17" t="s">
        <v>5</v>
      </c>
    </row>
    <row r="28" spans="1:9" ht="116.25">
      <c r="A28" s="16" t="s">
        <v>778</v>
      </c>
      <c r="B28" s="13" t="s">
        <v>763</v>
      </c>
      <c r="C28" s="13" t="s">
        <v>86</v>
      </c>
      <c r="D28" s="13" t="s">
        <v>779</v>
      </c>
      <c r="E28" s="13" t="s">
        <v>793</v>
      </c>
      <c r="F28" s="13" t="s">
        <v>794</v>
      </c>
      <c r="G28" s="17" t="s">
        <v>6</v>
      </c>
    </row>
    <row r="29" spans="1:9">
      <c r="A29" s="16" t="s">
        <v>780</v>
      </c>
      <c r="B29" s="13" t="s">
        <v>763</v>
      </c>
      <c r="C29" s="13" t="s">
        <v>104</v>
      </c>
      <c r="D29" s="13" t="s">
        <v>85</v>
      </c>
      <c r="E29" s="13" t="s">
        <v>781</v>
      </c>
      <c r="F29" s="13" t="s">
        <v>99</v>
      </c>
      <c r="G29" s="17" t="s">
        <v>5</v>
      </c>
    </row>
    <row r="30" spans="1:9" ht="46.5">
      <c r="A30" s="16" t="s">
        <v>782</v>
      </c>
      <c r="B30" s="13" t="s">
        <v>763</v>
      </c>
      <c r="C30" s="13" t="s">
        <v>107</v>
      </c>
      <c r="D30" s="13" t="s">
        <v>783</v>
      </c>
      <c r="E30" s="13" t="s">
        <v>784</v>
      </c>
      <c r="F30" s="13" t="s">
        <v>102</v>
      </c>
      <c r="G30" s="17" t="s">
        <v>5</v>
      </c>
    </row>
    <row r="31" spans="1:9" ht="93">
      <c r="A31" s="16" t="s">
        <v>785</v>
      </c>
      <c r="B31" s="13" t="s">
        <v>763</v>
      </c>
      <c r="C31" s="13" t="s">
        <v>86</v>
      </c>
      <c r="D31" s="13" t="s">
        <v>786</v>
      </c>
      <c r="E31" s="13" t="s">
        <v>787</v>
      </c>
      <c r="F31" s="13" t="s">
        <v>792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795</v>
      </c>
      <c r="C4" s="30"/>
      <c r="E4" s="11" t="s">
        <v>85</v>
      </c>
      <c r="F4" s="30" t="s">
        <v>796</v>
      </c>
      <c r="G4" s="30"/>
      <c r="H4" s="30"/>
      <c r="I4" s="30"/>
    </row>
    <row r="5" spans="1:9" ht="24" thickBot="1">
      <c r="A5" s="11" t="s">
        <v>23</v>
      </c>
      <c r="B5" s="30" t="s">
        <v>797</v>
      </c>
      <c r="C5" s="30"/>
    </row>
    <row r="6" spans="1:9" ht="24" thickBot="1">
      <c r="A6" s="11" t="s">
        <v>27</v>
      </c>
      <c r="B6" s="30" t="s">
        <v>798</v>
      </c>
      <c r="C6" s="30"/>
    </row>
    <row r="7" spans="1:9" ht="24" thickBot="1">
      <c r="A7" s="11" t="s">
        <v>31</v>
      </c>
      <c r="B7" s="30" t="s">
        <v>799</v>
      </c>
      <c r="C7" s="30"/>
    </row>
    <row r="8" spans="1:9" ht="24" thickBot="1">
      <c r="A8" s="11" t="s">
        <v>35</v>
      </c>
      <c r="B8" s="30" t="s">
        <v>800</v>
      </c>
      <c r="C8" s="30"/>
    </row>
    <row r="9" spans="1:9" ht="24" thickBot="1">
      <c r="A9" s="11" t="s">
        <v>39</v>
      </c>
      <c r="B9" s="30" t="s">
        <v>801</v>
      </c>
      <c r="C9" s="30"/>
    </row>
    <row r="10" spans="1:9" ht="24" thickBot="1">
      <c r="A10" s="11" t="s">
        <v>685</v>
      </c>
      <c r="B10" s="30" t="s">
        <v>802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803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804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805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832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806</v>
      </c>
      <c r="C21" s="15" t="s">
        <v>807</v>
      </c>
      <c r="D21" s="32"/>
      <c r="E21" s="32"/>
      <c r="F21" s="32"/>
    </row>
    <row r="22" spans="1:9" ht="116.25">
      <c r="A22" s="16" t="s">
        <v>808</v>
      </c>
      <c r="B22" s="13" t="s">
        <v>809</v>
      </c>
      <c r="C22" s="13" t="s">
        <v>810</v>
      </c>
      <c r="D22" s="13" t="s">
        <v>811</v>
      </c>
      <c r="E22" s="13" t="s">
        <v>838</v>
      </c>
      <c r="F22" s="17" t="s">
        <v>5</v>
      </c>
    </row>
    <row r="23" spans="1:9" ht="99" customHeight="1">
      <c r="A23" s="16" t="s">
        <v>812</v>
      </c>
      <c r="B23" s="13" t="s">
        <v>813</v>
      </c>
      <c r="C23" s="13" t="s">
        <v>810</v>
      </c>
      <c r="D23" s="13" t="s">
        <v>814</v>
      </c>
      <c r="E23" s="13" t="s">
        <v>837</v>
      </c>
      <c r="F23" s="17" t="s">
        <v>5</v>
      </c>
    </row>
    <row r="24" spans="1:9" ht="53.25" customHeight="1">
      <c r="A24" s="16" t="s">
        <v>815</v>
      </c>
      <c r="B24" s="13" t="s">
        <v>809</v>
      </c>
      <c r="C24" s="13" t="s">
        <v>797</v>
      </c>
      <c r="D24" s="13" t="s">
        <v>816</v>
      </c>
      <c r="E24" s="13" t="s">
        <v>836</v>
      </c>
      <c r="F24" s="17" t="s">
        <v>5</v>
      </c>
    </row>
    <row r="25" spans="1:9" ht="69.75">
      <c r="A25" s="16" t="s">
        <v>817</v>
      </c>
      <c r="B25" s="13" t="s">
        <v>809</v>
      </c>
      <c r="C25" s="13" t="s">
        <v>818</v>
      </c>
      <c r="D25" s="13" t="s">
        <v>819</v>
      </c>
      <c r="E25" s="13" t="s">
        <v>835</v>
      </c>
      <c r="F25" s="17" t="s">
        <v>5</v>
      </c>
    </row>
    <row r="26" spans="1:9" ht="46.5">
      <c r="A26" s="16" t="s">
        <v>820</v>
      </c>
      <c r="B26" s="13" t="s">
        <v>813</v>
      </c>
      <c r="C26" s="13" t="s">
        <v>799</v>
      </c>
      <c r="D26" s="13" t="s">
        <v>821</v>
      </c>
      <c r="E26" s="13" t="s">
        <v>799</v>
      </c>
      <c r="F26" s="17" t="s">
        <v>5</v>
      </c>
    </row>
    <row r="27" spans="1:9" ht="55.5" customHeight="1">
      <c r="A27" s="16" t="s">
        <v>822</v>
      </c>
      <c r="B27" s="13" t="s">
        <v>809</v>
      </c>
      <c r="C27" s="13" t="s">
        <v>823</v>
      </c>
      <c r="D27" s="13" t="s">
        <v>824</v>
      </c>
      <c r="E27" s="13" t="s">
        <v>834</v>
      </c>
      <c r="F27" s="17" t="s">
        <v>5</v>
      </c>
    </row>
    <row r="28" spans="1:9" ht="93">
      <c r="A28" s="16" t="s">
        <v>825</v>
      </c>
      <c r="B28" s="13" t="s">
        <v>826</v>
      </c>
      <c r="C28" s="13" t="s">
        <v>93</v>
      </c>
      <c r="D28" s="13" t="s">
        <v>827</v>
      </c>
      <c r="E28" s="13" t="s">
        <v>93</v>
      </c>
      <c r="F28" s="17" t="s">
        <v>5</v>
      </c>
    </row>
    <row r="29" spans="1:9" ht="93">
      <c r="A29" s="16" t="s">
        <v>828</v>
      </c>
      <c r="B29" s="13" t="s">
        <v>829</v>
      </c>
      <c r="C29" s="13" t="s">
        <v>830</v>
      </c>
      <c r="D29" s="13" t="s">
        <v>831</v>
      </c>
      <c r="E29" s="13" t="s">
        <v>833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849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850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851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853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855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856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857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858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859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860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861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862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864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865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866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867</v>
      </c>
      <c r="C29" s="13" t="s">
        <v>93</v>
      </c>
      <c r="D29" s="13" t="s">
        <v>868</v>
      </c>
      <c r="E29" s="13" t="s">
        <v>85</v>
      </c>
      <c r="F29" s="13" t="s">
        <v>869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870</v>
      </c>
      <c r="C30" s="13" t="s">
        <v>396</v>
      </c>
      <c r="D30" s="13" t="s">
        <v>93</v>
      </c>
      <c r="E30" s="13" t="s">
        <v>85</v>
      </c>
      <c r="F30" s="13" t="s">
        <v>871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872</v>
      </c>
      <c r="C31" s="13" t="s">
        <v>104</v>
      </c>
      <c r="D31" s="13" t="s">
        <v>868</v>
      </c>
      <c r="E31" s="13" t="s">
        <v>873</v>
      </c>
      <c r="F31" s="13" t="s">
        <v>99</v>
      </c>
      <c r="G31" s="13" t="s">
        <v>1111</v>
      </c>
      <c r="H31" s="17" t="s">
        <v>5</v>
      </c>
    </row>
    <row r="32" spans="1:9" ht="69.75">
      <c r="A32" s="17" t="s">
        <v>175</v>
      </c>
      <c r="B32" s="16" t="s">
        <v>874</v>
      </c>
      <c r="C32" s="13" t="s">
        <v>396</v>
      </c>
      <c r="D32" s="13" t="s">
        <v>875</v>
      </c>
      <c r="E32" s="13" t="s">
        <v>876</v>
      </c>
      <c r="F32" s="13" t="s">
        <v>877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878</v>
      </c>
      <c r="C33" s="13" t="s">
        <v>396</v>
      </c>
      <c r="D33" s="13" t="s">
        <v>868</v>
      </c>
      <c r="E33" s="13" t="s">
        <v>879</v>
      </c>
      <c r="F33" s="13" t="s">
        <v>880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881</v>
      </c>
      <c r="C34" s="13" t="s">
        <v>396</v>
      </c>
      <c r="D34" s="13" t="s">
        <v>882</v>
      </c>
      <c r="E34" s="13" t="s">
        <v>883</v>
      </c>
      <c r="F34" s="13" t="s">
        <v>884</v>
      </c>
      <c r="G34" s="13" t="s">
        <v>1112</v>
      </c>
      <c r="H34" s="17" t="s">
        <v>5</v>
      </c>
    </row>
    <row r="35" spans="1:8" ht="93">
      <c r="A35" s="17" t="s">
        <v>193</v>
      </c>
      <c r="B35" s="16" t="s">
        <v>885</v>
      </c>
      <c r="C35" s="13" t="s">
        <v>396</v>
      </c>
      <c r="D35" s="13" t="s">
        <v>868</v>
      </c>
      <c r="E35" s="13" t="s">
        <v>886</v>
      </c>
      <c r="F35" s="13" t="s">
        <v>887</v>
      </c>
      <c r="G35" s="13" t="s">
        <v>1113</v>
      </c>
      <c r="H35" s="17" t="s">
        <v>5</v>
      </c>
    </row>
    <row r="36" spans="1:8" ht="69.75">
      <c r="A36" s="17" t="s">
        <v>197</v>
      </c>
      <c r="B36" s="16" t="s">
        <v>888</v>
      </c>
      <c r="C36" s="13" t="s">
        <v>396</v>
      </c>
      <c r="D36" s="13" t="s">
        <v>868</v>
      </c>
      <c r="E36" s="13" t="s">
        <v>889</v>
      </c>
      <c r="F36" s="13" t="s">
        <v>890</v>
      </c>
      <c r="G36" s="13" t="s">
        <v>1114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891</v>
      </c>
      <c r="C4" s="30"/>
      <c r="E4" s="11" t="s">
        <v>21</v>
      </c>
      <c r="F4" s="30" t="s">
        <v>892</v>
      </c>
      <c r="G4" s="30"/>
      <c r="H4" s="30"/>
      <c r="I4" s="30"/>
    </row>
    <row r="5" spans="1:9" ht="24" thickBot="1">
      <c r="A5" s="11" t="s">
        <v>23</v>
      </c>
      <c r="B5" s="30" t="s">
        <v>893</v>
      </c>
      <c r="C5" s="30"/>
      <c r="E5" s="11" t="s">
        <v>25</v>
      </c>
      <c r="F5" s="30" t="s">
        <v>894</v>
      </c>
      <c r="G5" s="30"/>
      <c r="H5" s="30"/>
      <c r="I5" s="30"/>
    </row>
    <row r="6" spans="1:9" ht="24" thickBot="1">
      <c r="A6" s="11" t="s">
        <v>27</v>
      </c>
      <c r="B6" s="30" t="s">
        <v>895</v>
      </c>
      <c r="C6" s="30"/>
      <c r="E6" s="11" t="s">
        <v>29</v>
      </c>
      <c r="F6" s="30" t="s">
        <v>896</v>
      </c>
      <c r="G6" s="30"/>
      <c r="H6" s="30"/>
      <c r="I6" s="30"/>
    </row>
    <row r="7" spans="1:9" ht="24" thickBot="1">
      <c r="A7" s="11" t="s">
        <v>31</v>
      </c>
      <c r="B7" s="30" t="s">
        <v>897</v>
      </c>
      <c r="C7" s="30"/>
      <c r="E7" s="11" t="s">
        <v>33</v>
      </c>
      <c r="F7" s="30" t="s">
        <v>898</v>
      </c>
      <c r="G7" s="30"/>
      <c r="H7" s="30"/>
      <c r="I7" s="30"/>
    </row>
    <row r="8" spans="1:9" ht="24" thickBot="1">
      <c r="A8" s="11" t="s">
        <v>35</v>
      </c>
      <c r="B8" s="30" t="s">
        <v>899</v>
      </c>
      <c r="C8" s="30"/>
    </row>
    <row r="9" spans="1:9" ht="24" thickBot="1">
      <c r="A9" s="11" t="s">
        <v>39</v>
      </c>
      <c r="B9" s="30" t="s">
        <v>900</v>
      </c>
      <c r="C9" s="30"/>
    </row>
    <row r="10" spans="1:9" ht="24" thickBot="1">
      <c r="A10" s="11" t="s">
        <v>685</v>
      </c>
      <c r="B10" s="30" t="s">
        <v>901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902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903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1080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904</v>
      </c>
      <c r="C21" s="15" t="s">
        <v>905</v>
      </c>
      <c r="D21" s="15" t="s">
        <v>906</v>
      </c>
      <c r="E21" s="32"/>
      <c r="F21" s="32"/>
      <c r="G21" s="32"/>
    </row>
    <row r="22" spans="1:9" ht="52.5" customHeight="1">
      <c r="A22" s="16" t="s">
        <v>907</v>
      </c>
      <c r="B22" s="13" t="s">
        <v>506</v>
      </c>
      <c r="C22" s="13" t="s">
        <v>908</v>
      </c>
      <c r="D22" s="13" t="s">
        <v>93</v>
      </c>
      <c r="E22" s="13" t="s">
        <v>909</v>
      </c>
      <c r="F22" s="13" t="s">
        <v>1081</v>
      </c>
      <c r="G22" s="17" t="s">
        <v>5</v>
      </c>
    </row>
    <row r="23" spans="1:9">
      <c r="A23" s="16" t="s">
        <v>910</v>
      </c>
      <c r="B23" s="13" t="s">
        <v>506</v>
      </c>
      <c r="C23" s="13" t="s">
        <v>908</v>
      </c>
      <c r="D23" s="13" t="s">
        <v>911</v>
      </c>
      <c r="E23" s="13" t="s">
        <v>912</v>
      </c>
      <c r="F23" s="13" t="s">
        <v>1082</v>
      </c>
      <c r="G23" s="17" t="s">
        <v>5</v>
      </c>
    </row>
    <row r="24" spans="1:9" ht="46.5">
      <c r="A24" s="16" t="s">
        <v>913</v>
      </c>
      <c r="B24" s="13" t="s">
        <v>506</v>
      </c>
      <c r="C24" s="13" t="s">
        <v>908</v>
      </c>
      <c r="D24" s="13" t="s">
        <v>914</v>
      </c>
      <c r="E24" s="13" t="s">
        <v>915</v>
      </c>
      <c r="F24" s="13" t="s">
        <v>1083</v>
      </c>
      <c r="G24" s="17" t="s">
        <v>5</v>
      </c>
    </row>
    <row r="25" spans="1:9">
      <c r="A25" s="16" t="s">
        <v>916</v>
      </c>
      <c r="B25" s="13" t="s">
        <v>506</v>
      </c>
      <c r="C25" s="13" t="s">
        <v>908</v>
      </c>
      <c r="D25" s="13" t="s">
        <v>917</v>
      </c>
      <c r="E25" s="13" t="s">
        <v>918</v>
      </c>
      <c r="F25" s="13" t="s">
        <v>1084</v>
      </c>
      <c r="G25" s="17" t="s">
        <v>5</v>
      </c>
    </row>
    <row r="26" spans="1:9">
      <c r="A26" s="16" t="s">
        <v>919</v>
      </c>
      <c r="B26" s="13" t="s">
        <v>506</v>
      </c>
      <c r="C26" s="13" t="s">
        <v>908</v>
      </c>
      <c r="D26" s="13" t="s">
        <v>920</v>
      </c>
      <c r="E26" s="13" t="s">
        <v>921</v>
      </c>
      <c r="F26" s="13" t="s">
        <v>1086</v>
      </c>
      <c r="G26" s="17" t="s">
        <v>5</v>
      </c>
    </row>
    <row r="27" spans="1:9" ht="46.5">
      <c r="A27" s="16" t="s">
        <v>922</v>
      </c>
      <c r="B27" s="13" t="s">
        <v>506</v>
      </c>
      <c r="C27" s="13" t="s">
        <v>923</v>
      </c>
      <c r="D27" s="13" t="s">
        <v>914</v>
      </c>
      <c r="E27" s="13" t="s">
        <v>924</v>
      </c>
      <c r="F27" s="13" t="s">
        <v>1085</v>
      </c>
      <c r="G27" s="17" t="s">
        <v>5</v>
      </c>
    </row>
    <row r="28" spans="1:9" ht="52.5" customHeight="1">
      <c r="A28" s="16" t="s">
        <v>925</v>
      </c>
      <c r="B28" s="13" t="s">
        <v>505</v>
      </c>
      <c r="C28" s="13" t="s">
        <v>908</v>
      </c>
      <c r="D28" s="13" t="s">
        <v>93</v>
      </c>
      <c r="E28" s="13" t="s">
        <v>1087</v>
      </c>
      <c r="F28" s="13" t="s">
        <v>1093</v>
      </c>
      <c r="G28" s="17" t="s">
        <v>5</v>
      </c>
    </row>
    <row r="29" spans="1:9" ht="46.5">
      <c r="A29" s="16" t="s">
        <v>926</v>
      </c>
      <c r="B29" s="13" t="s">
        <v>508</v>
      </c>
      <c r="C29" s="13" t="s">
        <v>908</v>
      </c>
      <c r="D29" s="13" t="s">
        <v>93</v>
      </c>
      <c r="E29" s="13" t="s">
        <v>1088</v>
      </c>
      <c r="F29" s="13" t="s">
        <v>1092</v>
      </c>
      <c r="G29" s="17" t="s">
        <v>5</v>
      </c>
    </row>
    <row r="30" spans="1:9">
      <c r="A30" s="16" t="s">
        <v>927</v>
      </c>
      <c r="B30" s="13" t="s">
        <v>507</v>
      </c>
      <c r="C30" s="13" t="s">
        <v>908</v>
      </c>
      <c r="D30" s="13" t="s">
        <v>93</v>
      </c>
      <c r="E30" s="13" t="s">
        <v>1089</v>
      </c>
      <c r="F30" s="13" t="s">
        <v>1094</v>
      </c>
      <c r="G30" s="17" t="s">
        <v>6</v>
      </c>
    </row>
    <row r="31" spans="1:9">
      <c r="A31" s="16" t="s">
        <v>928</v>
      </c>
      <c r="B31" s="13" t="s">
        <v>411</v>
      </c>
      <c r="C31" s="13" t="s">
        <v>908</v>
      </c>
      <c r="D31" s="13" t="s">
        <v>93</v>
      </c>
      <c r="E31" s="13" t="s">
        <v>1090</v>
      </c>
      <c r="F31" s="13" t="s">
        <v>672</v>
      </c>
      <c r="G31" s="17" t="s">
        <v>6</v>
      </c>
    </row>
    <row r="32" spans="1:9">
      <c r="A32" s="16" t="s">
        <v>929</v>
      </c>
      <c r="B32" s="13" t="s">
        <v>509</v>
      </c>
      <c r="C32" s="13" t="s">
        <v>908</v>
      </c>
      <c r="D32" s="13" t="s">
        <v>93</v>
      </c>
      <c r="E32" s="13" t="s">
        <v>1091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930</v>
      </c>
      <c r="K1" s="15" t="s">
        <v>931</v>
      </c>
    </row>
    <row r="2" spans="1:11">
      <c r="I2" s="17" t="s">
        <v>224</v>
      </c>
      <c r="J2" s="17" t="s">
        <v>932</v>
      </c>
      <c r="K2" s="17" t="s">
        <v>933</v>
      </c>
    </row>
    <row r="3" spans="1:11">
      <c r="A3" s="12" t="s">
        <v>58</v>
      </c>
      <c r="B3" s="33" t="s">
        <v>934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935</v>
      </c>
      <c r="K3" s="17" t="s">
        <v>936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937</v>
      </c>
      <c r="K4" s="17" t="s">
        <v>938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908</v>
      </c>
      <c r="K5" s="17" t="s">
        <v>939</v>
      </c>
    </row>
    <row r="6" spans="1:11" ht="46.5">
      <c r="A6" s="12" t="s">
        <v>68</v>
      </c>
      <c r="B6" s="33" t="s">
        <v>940</v>
      </c>
      <c r="C6" s="33"/>
      <c r="D6" s="33"/>
      <c r="E6" s="33"/>
      <c r="F6" s="33"/>
      <c r="I6" s="17" t="s">
        <v>238</v>
      </c>
      <c r="J6" s="17" t="s">
        <v>85</v>
      </c>
      <c r="K6" s="17" t="s">
        <v>941</v>
      </c>
    </row>
    <row r="7" spans="1:11" ht="46.5">
      <c r="A7" s="12" t="s">
        <v>70</v>
      </c>
      <c r="B7" s="33" t="s">
        <v>943</v>
      </c>
      <c r="C7" s="33"/>
      <c r="D7" s="33"/>
      <c r="E7" s="33"/>
      <c r="F7" s="33"/>
      <c r="I7" s="17" t="s">
        <v>244</v>
      </c>
      <c r="J7" s="17" t="s">
        <v>85</v>
      </c>
      <c r="K7" s="17" t="s">
        <v>944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806</v>
      </c>
      <c r="C10" s="15" t="s">
        <v>945</v>
      </c>
      <c r="D10" s="32"/>
      <c r="E10" s="32"/>
      <c r="F10" s="32"/>
    </row>
    <row r="11" spans="1:11">
      <c r="A11" s="16" t="s">
        <v>946</v>
      </c>
      <c r="B11" s="13" t="s">
        <v>947</v>
      </c>
      <c r="C11" s="13" t="s">
        <v>948</v>
      </c>
      <c r="D11" s="13" t="s">
        <v>949</v>
      </c>
      <c r="E11" s="13" t="s">
        <v>949</v>
      </c>
      <c r="F11" s="17" t="s">
        <v>5</v>
      </c>
    </row>
    <row r="12" spans="1:11">
      <c r="A12" s="16" t="s">
        <v>950</v>
      </c>
      <c r="B12" s="13" t="s">
        <v>947</v>
      </c>
      <c r="C12" s="13" t="s">
        <v>951</v>
      </c>
      <c r="D12" s="13" t="s">
        <v>952</v>
      </c>
      <c r="E12" s="13" t="s">
        <v>952</v>
      </c>
      <c r="F12" s="17" t="s">
        <v>5</v>
      </c>
    </row>
    <row r="13" spans="1:11">
      <c r="A13" s="16" t="s">
        <v>953</v>
      </c>
      <c r="B13" s="13" t="s">
        <v>947</v>
      </c>
      <c r="C13" s="13" t="s">
        <v>954</v>
      </c>
      <c r="D13" s="13" t="s">
        <v>952</v>
      </c>
      <c r="E13" s="13" t="s">
        <v>952</v>
      </c>
      <c r="F13" s="17" t="s">
        <v>5</v>
      </c>
    </row>
    <row r="14" spans="1:11">
      <c r="A14" s="16" t="s">
        <v>955</v>
      </c>
      <c r="B14" s="13" t="s">
        <v>947</v>
      </c>
      <c r="C14" s="13" t="s">
        <v>956</v>
      </c>
      <c r="D14" s="13" t="s">
        <v>952</v>
      </c>
      <c r="E14" s="13" t="s">
        <v>952</v>
      </c>
      <c r="F14" s="17" t="s">
        <v>5</v>
      </c>
    </row>
    <row r="15" spans="1:11" ht="46.5">
      <c r="A15" s="16" t="s">
        <v>957</v>
      </c>
      <c r="B15" s="13" t="s">
        <v>947</v>
      </c>
      <c r="C15" s="13" t="s">
        <v>958</v>
      </c>
      <c r="D15" s="13" t="s">
        <v>949</v>
      </c>
      <c r="E15" s="13" t="s">
        <v>949</v>
      </c>
      <c r="F15" s="17" t="s">
        <v>5</v>
      </c>
    </row>
    <row r="16" spans="1:11">
      <c r="A16" s="16" t="s">
        <v>959</v>
      </c>
      <c r="B16" s="13" t="s">
        <v>960</v>
      </c>
      <c r="C16" s="13" t="s">
        <v>933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961</v>
      </c>
      <c r="B17" s="13" t="s">
        <v>960</v>
      </c>
      <c r="C17" s="13" t="s">
        <v>936</v>
      </c>
      <c r="D17" s="13" t="s">
        <v>936</v>
      </c>
      <c r="E17" s="13" t="s">
        <v>936</v>
      </c>
      <c r="F17" s="17" t="s">
        <v>5</v>
      </c>
    </row>
    <row r="18" spans="1:6">
      <c r="A18" s="16" t="s">
        <v>962</v>
      </c>
      <c r="B18" s="13" t="s">
        <v>960</v>
      </c>
      <c r="C18" s="13" t="s">
        <v>938</v>
      </c>
      <c r="D18" s="13" t="s">
        <v>938</v>
      </c>
      <c r="E18" s="13" t="s">
        <v>938</v>
      </c>
      <c r="F18" s="17" t="s">
        <v>5</v>
      </c>
    </row>
    <row r="19" spans="1:6">
      <c r="A19" s="16" t="s">
        <v>963</v>
      </c>
      <c r="B19" s="13" t="s">
        <v>960</v>
      </c>
      <c r="C19" s="13" t="s">
        <v>939</v>
      </c>
      <c r="D19" s="13" t="s">
        <v>939</v>
      </c>
      <c r="E19" s="13" t="s">
        <v>939</v>
      </c>
      <c r="F19" s="17" t="s">
        <v>5</v>
      </c>
    </row>
    <row r="20" spans="1:6">
      <c r="A20" s="16" t="s">
        <v>964</v>
      </c>
      <c r="B20" s="13" t="s">
        <v>960</v>
      </c>
      <c r="C20" s="13" t="s">
        <v>941</v>
      </c>
      <c r="D20" s="13" t="s">
        <v>941</v>
      </c>
      <c r="E20" s="13" t="s">
        <v>941</v>
      </c>
      <c r="F20" s="17" t="s">
        <v>5</v>
      </c>
    </row>
    <row r="21" spans="1:6">
      <c r="A21" s="16" t="s">
        <v>965</v>
      </c>
      <c r="B21" s="13" t="s">
        <v>960</v>
      </c>
      <c r="C21" s="13" t="s">
        <v>942</v>
      </c>
      <c r="D21" s="13" t="s">
        <v>942</v>
      </c>
      <c r="E21" s="13" t="s">
        <v>942</v>
      </c>
      <c r="F21" s="17" t="s">
        <v>5</v>
      </c>
    </row>
    <row r="22" spans="1:6">
      <c r="A22" s="16" t="s">
        <v>966</v>
      </c>
      <c r="B22" s="13" t="s">
        <v>960</v>
      </c>
      <c r="C22" s="13" t="s">
        <v>944</v>
      </c>
      <c r="D22" s="13" t="s">
        <v>942</v>
      </c>
      <c r="E22" s="13" t="s">
        <v>942</v>
      </c>
      <c r="F22" s="17" t="s">
        <v>5</v>
      </c>
    </row>
    <row r="23" spans="1:6">
      <c r="A23" s="16" t="s">
        <v>967</v>
      </c>
      <c r="B23" s="13" t="s">
        <v>960</v>
      </c>
      <c r="C23" s="13" t="s">
        <v>968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969</v>
      </c>
      <c r="B24" s="13" t="s">
        <v>970</v>
      </c>
      <c r="C24" s="13" t="s">
        <v>85</v>
      </c>
      <c r="D24" s="13" t="s">
        <v>971</v>
      </c>
      <c r="E24" s="13" t="s">
        <v>971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972</v>
      </c>
      <c r="C4" s="30"/>
      <c r="E4" s="11" t="s">
        <v>21</v>
      </c>
      <c r="F4" s="30" t="s">
        <v>973</v>
      </c>
      <c r="G4" s="30"/>
      <c r="H4" s="30"/>
      <c r="I4" s="30"/>
    </row>
    <row r="5" spans="1:9" ht="24" thickBot="1">
      <c r="A5" s="11" t="s">
        <v>23</v>
      </c>
      <c r="B5" s="30" t="s">
        <v>974</v>
      </c>
      <c r="C5" s="30"/>
      <c r="E5" s="11" t="s">
        <v>25</v>
      </c>
      <c r="F5" s="30" t="s">
        <v>975</v>
      </c>
      <c r="G5" s="30"/>
      <c r="H5" s="30"/>
      <c r="I5" s="30"/>
    </row>
    <row r="6" spans="1:9" ht="24" thickBot="1">
      <c r="A6" s="11" t="s">
        <v>27</v>
      </c>
      <c r="B6" s="30" t="s">
        <v>976</v>
      </c>
      <c r="C6" s="30"/>
      <c r="E6" s="11" t="s">
        <v>29</v>
      </c>
      <c r="F6" s="30" t="s">
        <v>977</v>
      </c>
      <c r="G6" s="30"/>
      <c r="H6" s="30"/>
      <c r="I6" s="30"/>
    </row>
    <row r="7" spans="1:9" ht="24" thickBot="1">
      <c r="A7" s="11" t="s">
        <v>31</v>
      </c>
      <c r="B7" s="30" t="s">
        <v>978</v>
      </c>
      <c r="C7" s="30"/>
      <c r="E7" s="11" t="s">
        <v>33</v>
      </c>
      <c r="F7" s="30" t="s">
        <v>979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980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981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806</v>
      </c>
      <c r="C18" s="15" t="s">
        <v>945</v>
      </c>
      <c r="D18" s="32"/>
      <c r="E18" s="32"/>
      <c r="F18" s="32"/>
    </row>
    <row r="19" spans="1:6">
      <c r="A19" s="16" t="s">
        <v>983</v>
      </c>
      <c r="B19" s="13" t="s">
        <v>960</v>
      </c>
      <c r="C19" s="13" t="s">
        <v>908</v>
      </c>
      <c r="D19" s="13" t="s">
        <v>984</v>
      </c>
      <c r="E19" s="13">
        <v>120</v>
      </c>
      <c r="F19" s="17" t="s">
        <v>5</v>
      </c>
    </row>
    <row r="20" spans="1:6">
      <c r="A20" s="16" t="s">
        <v>985</v>
      </c>
      <c r="B20" s="13" t="s">
        <v>960</v>
      </c>
      <c r="C20" s="13" t="s">
        <v>936</v>
      </c>
      <c r="D20" s="13" t="s">
        <v>986</v>
      </c>
      <c r="E20" s="13" t="s">
        <v>1095</v>
      </c>
      <c r="F20" s="17" t="s">
        <v>5</v>
      </c>
    </row>
    <row r="21" spans="1:6">
      <c r="A21" s="16" t="s">
        <v>987</v>
      </c>
      <c r="B21" s="13" t="s">
        <v>960</v>
      </c>
      <c r="C21" s="13" t="s">
        <v>988</v>
      </c>
      <c r="D21" s="13" t="s">
        <v>989</v>
      </c>
      <c r="E21" s="13" t="s">
        <v>1096</v>
      </c>
      <c r="F21" s="17" t="s">
        <v>5</v>
      </c>
    </row>
    <row r="22" spans="1:6">
      <c r="A22" s="16" t="s">
        <v>990</v>
      </c>
      <c r="B22" s="13" t="s">
        <v>960</v>
      </c>
      <c r="C22" s="13" t="s">
        <v>991</v>
      </c>
      <c r="D22" s="13" t="s">
        <v>992</v>
      </c>
      <c r="E22" s="13" t="s">
        <v>1097</v>
      </c>
      <c r="F22" s="17" t="s">
        <v>5</v>
      </c>
    </row>
    <row r="23" spans="1:6">
      <c r="A23" s="16" t="s">
        <v>993</v>
      </c>
      <c r="B23" s="13" t="s">
        <v>947</v>
      </c>
      <c r="C23" s="13" t="s">
        <v>956</v>
      </c>
      <c r="D23" s="13" t="s">
        <v>994</v>
      </c>
      <c r="E23" s="13" t="b">
        <v>1</v>
      </c>
      <c r="F23" s="17" t="s">
        <v>5</v>
      </c>
    </row>
    <row r="24" spans="1:6">
      <c r="A24" s="16" t="s">
        <v>995</v>
      </c>
      <c r="B24" s="13" t="s">
        <v>960</v>
      </c>
      <c r="C24" s="13" t="s">
        <v>933</v>
      </c>
      <c r="D24" s="13" t="s">
        <v>996</v>
      </c>
      <c r="E24" s="13">
        <v>0</v>
      </c>
      <c r="F24" s="17" t="s">
        <v>5</v>
      </c>
    </row>
    <row r="25" spans="1:6">
      <c r="A25" s="16" t="s">
        <v>997</v>
      </c>
      <c r="B25" s="13" t="s">
        <v>960</v>
      </c>
      <c r="C25" s="13" t="s">
        <v>998</v>
      </c>
      <c r="D25" s="13" t="s">
        <v>999</v>
      </c>
      <c r="E25" s="13">
        <v>0</v>
      </c>
      <c r="F25" s="17" t="s">
        <v>5</v>
      </c>
    </row>
    <row r="26" spans="1:6">
      <c r="A26" s="16" t="s">
        <v>1000</v>
      </c>
      <c r="B26" s="13" t="s">
        <v>960</v>
      </c>
      <c r="C26" s="13" t="s">
        <v>93</v>
      </c>
      <c r="D26" s="13" t="s">
        <v>1001</v>
      </c>
      <c r="E26" s="13">
        <v>0</v>
      </c>
      <c r="F26" s="17" t="s">
        <v>5</v>
      </c>
    </row>
    <row r="27" spans="1:6" ht="46.5">
      <c r="A27" s="16" t="s">
        <v>1002</v>
      </c>
      <c r="B27" s="13" t="s">
        <v>947</v>
      </c>
      <c r="C27" s="13" t="s">
        <v>1003</v>
      </c>
      <c r="D27" s="13" t="s">
        <v>1004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1005</v>
      </c>
      <c r="C4" s="30"/>
      <c r="E4" s="11" t="s">
        <v>21</v>
      </c>
      <c r="F4" s="30" t="s">
        <v>1006</v>
      </c>
      <c r="G4" s="30"/>
      <c r="H4" s="30"/>
      <c r="I4" s="30"/>
    </row>
    <row r="5" spans="1:9" ht="24" thickBot="1">
      <c r="A5" s="11" t="s">
        <v>23</v>
      </c>
      <c r="B5" s="30" t="s">
        <v>1007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1008</v>
      </c>
      <c r="C6" s="30"/>
      <c r="E6" s="11" t="s">
        <v>29</v>
      </c>
      <c r="F6" s="30" t="s">
        <v>1009</v>
      </c>
      <c r="G6" s="30"/>
      <c r="H6" s="30"/>
      <c r="I6" s="30"/>
    </row>
    <row r="7" spans="1:9" ht="24" thickBot="1">
      <c r="A7" s="11" t="s">
        <v>31</v>
      </c>
      <c r="B7" s="30" t="s">
        <v>1010</v>
      </c>
      <c r="C7" s="30"/>
      <c r="E7" s="11" t="s">
        <v>33</v>
      </c>
      <c r="F7" s="30" t="s">
        <v>1011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1012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1013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1014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906</v>
      </c>
      <c r="C18" s="15" t="s">
        <v>1015</v>
      </c>
      <c r="D18" s="32"/>
      <c r="E18" s="32"/>
      <c r="F18" s="32"/>
    </row>
    <row r="19" spans="1:6" ht="52.5" customHeight="1">
      <c r="A19" s="16" t="s">
        <v>1016</v>
      </c>
      <c r="B19" s="13" t="s">
        <v>911</v>
      </c>
      <c r="C19" s="13" t="s">
        <v>1017</v>
      </c>
      <c r="D19" s="13" t="s">
        <v>1018</v>
      </c>
      <c r="E19" s="13" t="s">
        <v>1107</v>
      </c>
      <c r="F19" s="17" t="s">
        <v>5</v>
      </c>
    </row>
    <row r="20" spans="1:6" ht="54.75" customHeight="1">
      <c r="A20" s="16" t="s">
        <v>1019</v>
      </c>
      <c r="B20" s="13" t="s">
        <v>1020</v>
      </c>
      <c r="C20" s="13" t="s">
        <v>1017</v>
      </c>
      <c r="D20" s="13" t="s">
        <v>1021</v>
      </c>
      <c r="E20" s="13" t="s">
        <v>1108</v>
      </c>
      <c r="F20" s="17" t="s">
        <v>5</v>
      </c>
    </row>
    <row r="21" spans="1:6" ht="54" customHeight="1">
      <c r="A21" s="16" t="s">
        <v>1022</v>
      </c>
      <c r="B21" s="13" t="s">
        <v>1023</v>
      </c>
      <c r="C21" s="13" t="s">
        <v>1017</v>
      </c>
      <c r="D21" s="13" t="s">
        <v>1024</v>
      </c>
      <c r="E21" s="13" t="s">
        <v>1107</v>
      </c>
      <c r="F21" s="17" t="s">
        <v>5</v>
      </c>
    </row>
    <row r="22" spans="1:6" ht="49.5" customHeight="1">
      <c r="A22" s="16" t="s">
        <v>1025</v>
      </c>
      <c r="B22" s="13" t="s">
        <v>1026</v>
      </c>
      <c r="C22" s="13" t="s">
        <v>1027</v>
      </c>
      <c r="D22" s="13" t="s">
        <v>1028</v>
      </c>
      <c r="E22" s="13" t="s">
        <v>1109</v>
      </c>
      <c r="F22" s="17" t="s">
        <v>5</v>
      </c>
    </row>
    <row r="23" spans="1:6" ht="33" customHeight="1">
      <c r="A23" s="16" t="s">
        <v>1029</v>
      </c>
      <c r="B23" s="13" t="s">
        <v>920</v>
      </c>
      <c r="C23" s="13" t="s">
        <v>1017</v>
      </c>
      <c r="D23" s="13" t="s">
        <v>1030</v>
      </c>
      <c r="E23" s="13" t="s">
        <v>1110</v>
      </c>
      <c r="F23" s="17" t="s">
        <v>5</v>
      </c>
    </row>
    <row r="24" spans="1:6" ht="29.25" customHeight="1">
      <c r="A24" s="16" t="s">
        <v>1031</v>
      </c>
      <c r="B24" s="13" t="s">
        <v>93</v>
      </c>
      <c r="C24" s="13" t="s">
        <v>1017</v>
      </c>
      <c r="D24" s="13" t="s">
        <v>1032</v>
      </c>
      <c r="E24" s="13" t="s">
        <v>1110</v>
      </c>
      <c r="F24" s="17" t="s">
        <v>5</v>
      </c>
    </row>
    <row r="25" spans="1:6" ht="30" customHeight="1">
      <c r="A25" s="16" t="s">
        <v>1033</v>
      </c>
      <c r="B25" s="13" t="s">
        <v>1034</v>
      </c>
      <c r="C25" s="13" t="s">
        <v>1017</v>
      </c>
      <c r="D25" s="13" t="s">
        <v>1035</v>
      </c>
      <c r="E25" s="13" t="s">
        <v>1110</v>
      </c>
      <c r="F25" s="17" t="s">
        <v>5</v>
      </c>
    </row>
    <row r="26" spans="1:6" ht="77.25" customHeight="1">
      <c r="A26" s="16" t="s">
        <v>1036</v>
      </c>
      <c r="B26" s="13" t="s">
        <v>911</v>
      </c>
      <c r="C26" s="13" t="s">
        <v>1037</v>
      </c>
      <c r="D26" s="13" t="s">
        <v>1038</v>
      </c>
      <c r="E26" s="13" t="s">
        <v>1110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topLeftCell="A12" workbookViewId="0">
      <selection activeCell="H29" sqref="H29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868</v>
      </c>
      <c r="C4" s="30"/>
      <c r="E4" s="11" t="s">
        <v>21</v>
      </c>
      <c r="F4" s="30" t="s">
        <v>1039</v>
      </c>
      <c r="G4" s="30"/>
      <c r="H4" s="30"/>
      <c r="I4" s="30"/>
    </row>
    <row r="5" spans="1:9" ht="24" thickBot="1">
      <c r="A5" s="11" t="s">
        <v>23</v>
      </c>
      <c r="B5" s="30" t="s">
        <v>875</v>
      </c>
      <c r="C5" s="30"/>
      <c r="E5" s="11" t="s">
        <v>25</v>
      </c>
      <c r="F5" s="30" t="s">
        <v>1040</v>
      </c>
      <c r="G5" s="30"/>
      <c r="H5" s="30"/>
      <c r="I5" s="30"/>
    </row>
    <row r="6" spans="1:9" ht="24" thickBot="1">
      <c r="A6" s="11" t="s">
        <v>27</v>
      </c>
      <c r="B6" s="30" t="s">
        <v>882</v>
      </c>
      <c r="C6" s="30"/>
      <c r="E6" s="11" t="s">
        <v>29</v>
      </c>
      <c r="F6" s="30" t="s">
        <v>1041</v>
      </c>
      <c r="G6" s="30"/>
      <c r="H6" s="30"/>
      <c r="I6" s="30"/>
    </row>
    <row r="7" spans="1:9" ht="24" thickBot="1">
      <c r="A7" s="11" t="s">
        <v>31</v>
      </c>
      <c r="B7" s="30" t="s">
        <v>1042</v>
      </c>
      <c r="C7" s="30"/>
      <c r="E7" s="11" t="s">
        <v>33</v>
      </c>
      <c r="F7" s="30" t="s">
        <v>1043</v>
      </c>
      <c r="G7" s="30"/>
      <c r="H7" s="30"/>
      <c r="I7" s="30"/>
    </row>
    <row r="8" spans="1:9" ht="24" thickBot="1">
      <c r="A8" s="11" t="s">
        <v>35</v>
      </c>
      <c r="B8" s="30" t="s">
        <v>1044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1045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1046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806</v>
      </c>
      <c r="C19" s="15" t="s">
        <v>1049</v>
      </c>
      <c r="D19" s="32"/>
      <c r="E19" s="32"/>
      <c r="F19" s="32"/>
    </row>
    <row r="20" spans="1:6">
      <c r="A20" s="16" t="s">
        <v>1050</v>
      </c>
      <c r="B20" s="13" t="s">
        <v>1051</v>
      </c>
      <c r="C20" s="13" t="s">
        <v>868</v>
      </c>
      <c r="D20" s="13" t="s">
        <v>1052</v>
      </c>
      <c r="E20" s="13" t="s">
        <v>1098</v>
      </c>
      <c r="F20" s="17" t="s">
        <v>5</v>
      </c>
    </row>
    <row r="21" spans="1:6">
      <c r="A21" s="16" t="s">
        <v>1053</v>
      </c>
      <c r="B21" s="13" t="s">
        <v>1051</v>
      </c>
      <c r="C21" s="13" t="s">
        <v>875</v>
      </c>
      <c r="D21" s="13" t="s">
        <v>1054</v>
      </c>
      <c r="E21" s="13" t="s">
        <v>1099</v>
      </c>
      <c r="F21" s="17" t="s">
        <v>5</v>
      </c>
    </row>
    <row r="22" spans="1:6">
      <c r="A22" s="16" t="s">
        <v>1055</v>
      </c>
      <c r="B22" s="13" t="s">
        <v>1051</v>
      </c>
      <c r="C22" s="13" t="s">
        <v>882</v>
      </c>
      <c r="D22" s="13" t="s">
        <v>1056</v>
      </c>
      <c r="E22" s="13" t="s">
        <v>1100</v>
      </c>
      <c r="F22" s="17" t="s">
        <v>5</v>
      </c>
    </row>
    <row r="23" spans="1:6" ht="46.5">
      <c r="A23" s="16" t="s">
        <v>1057</v>
      </c>
      <c r="B23" s="13" t="s">
        <v>1051</v>
      </c>
      <c r="C23" s="13" t="s">
        <v>93</v>
      </c>
      <c r="D23" s="13" t="s">
        <v>1058</v>
      </c>
      <c r="E23" s="13" t="s">
        <v>1101</v>
      </c>
      <c r="F23" s="17" t="s">
        <v>5</v>
      </c>
    </row>
    <row r="24" spans="1:6" ht="51.75" customHeight="1">
      <c r="A24" s="16" t="s">
        <v>1059</v>
      </c>
      <c r="B24" s="13" t="s">
        <v>1060</v>
      </c>
      <c r="C24" s="13" t="s">
        <v>882</v>
      </c>
      <c r="D24" s="13" t="s">
        <v>1061</v>
      </c>
      <c r="E24" s="13" t="s">
        <v>1102</v>
      </c>
      <c r="F24" s="17" t="s">
        <v>5</v>
      </c>
    </row>
    <row r="25" spans="1:6" ht="46.5">
      <c r="A25" s="16" t="s">
        <v>1062</v>
      </c>
      <c r="B25" s="13" t="s">
        <v>1063</v>
      </c>
      <c r="C25" s="13" t="s">
        <v>1064</v>
      </c>
      <c r="D25" s="13" t="s">
        <v>1065</v>
      </c>
      <c r="E25" s="13" t="s">
        <v>1103</v>
      </c>
      <c r="F25" s="17" t="s">
        <v>5</v>
      </c>
    </row>
    <row r="26" spans="1:6" ht="46.5">
      <c r="A26" s="16" t="s">
        <v>1066</v>
      </c>
      <c r="B26" s="13" t="s">
        <v>1067</v>
      </c>
      <c r="C26" s="13" t="s">
        <v>1068</v>
      </c>
      <c r="D26" s="13" t="s">
        <v>1069</v>
      </c>
      <c r="E26" s="13" t="s">
        <v>1104</v>
      </c>
      <c r="F26" s="17" t="s">
        <v>5</v>
      </c>
    </row>
    <row r="27" spans="1:6">
      <c r="A27" s="16" t="s">
        <v>1070</v>
      </c>
      <c r="B27" s="13" t="s">
        <v>1071</v>
      </c>
      <c r="C27" s="13" t="s">
        <v>93</v>
      </c>
      <c r="D27" s="13" t="s">
        <v>1072</v>
      </c>
      <c r="E27" s="13" t="b">
        <v>0</v>
      </c>
      <c r="F27" s="17" t="s">
        <v>5</v>
      </c>
    </row>
    <row r="28" spans="1:6">
      <c r="A28" s="16" t="s">
        <v>1073</v>
      </c>
      <c r="B28" s="13" t="s">
        <v>1071</v>
      </c>
      <c r="C28" s="13" t="s">
        <v>1074</v>
      </c>
      <c r="D28" s="13" t="s">
        <v>1075</v>
      </c>
      <c r="E28" s="13" t="s">
        <v>1105</v>
      </c>
      <c r="F28" s="17" t="s">
        <v>5</v>
      </c>
    </row>
    <row r="29" spans="1:6" ht="69.75">
      <c r="A29" s="16" t="s">
        <v>1076</v>
      </c>
      <c r="B29" s="13" t="s">
        <v>1077</v>
      </c>
      <c r="C29" s="13" t="s">
        <v>1078</v>
      </c>
      <c r="D29" s="13" t="s">
        <v>1079</v>
      </c>
      <c r="E29" s="39" t="s">
        <v>1106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2026-10-09T22:35:13Z</dcterms:modified>
</cp:coreProperties>
</file>