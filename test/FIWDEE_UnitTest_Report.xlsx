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4A77A409-D322-4564-9DD4-5D56775C6F14}" xr6:coauthVersionLast="47" xr6:coauthVersionMax="47" xr10:uidLastSave="{00000000-0000-0000-0000-000000000000}"/>
  <bookViews>
    <workbookView xWindow="-120" yWindow="-120" windowWidth="29040" windowHeight="15720" xr2:uid="{9B0ECA1C-B255-4EEE-B7A8-035645CFC3D9}"/>
  </bookViews>
  <sheets>
    <sheet name="Test Summary" sheetId="1" r:id="rId1"/>
    <sheet name="UT01_CreateBooking_EC" sheetId="2" r:id="rId2"/>
    <sheet name="UT02_CreateBooking_DT" sheetId="3" r:id="rId3"/>
    <sheet name="Defect Summary" sheetId="4" r:id="rId4"/>
  </sheets>
  <externalReferences>
    <externalReference r:id="rId5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" i="1" l="1" a="1"/>
  <c r="G6" i="1" a="1"/>
  <c r="F6" i="1" a="1"/>
  <c r="E6" i="1" a="1"/>
  <c r="D6" i="1" a="1"/>
  <c r="H4" i="1"/>
  <c r="G4" i="1"/>
  <c r="F4" i="1"/>
  <c r="E4" i="1"/>
  <c r="D4" i="1"/>
  <c r="G5" i="1"/>
  <c r="F5" i="1"/>
  <c r="E5" i="1"/>
  <c r="D5" i="1"/>
  <c r="H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<sst xmlns="http://schemas.openxmlformats.org/spreadsheetml/2006/main" count="454" uniqueCount="222">
  <si>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</si>
  <si>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</si>
  <si>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</si>
  <si>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</si>
  <si>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</si>
  <si>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</si>
  <si>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</si>
  <si>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</si>
  <si>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</si>
  <si>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</si>
  <si>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</si>
  <si>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</si>
  <si>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</si>
  <si>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</si>
  <si>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</si>
  <si>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</si>
  <si>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</si>
  <si>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</si>
  <si>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</si>
  <si>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</si>
  <si>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</si>
  <si>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</si>
  <si>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</si>
  <si>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</si>
  <si>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</si>
  <si>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</si>
  <si>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</si>
  <si>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</si>
  <si>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</si>
  <si>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</si>
  <si>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</si>
  <si>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</si>
  <si>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</si>
  <si>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</si>
  <si>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</si>
  <si>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</si>
  <si>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</si>
  <si>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</si>
  <si>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</si>
  <si>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</si>
  <si>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</si>
  <si>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</si>
  <si>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</si>
  <si>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</si>
  <si>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</si>
  <si>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</si>
  <si>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</si>
  <si>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</si>
  <si>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</si>
  <si>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</si>
  <si>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</si>
  <si>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</si>
  <si>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</si>
  <si>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</si>
  <si>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</si>
  <si>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</si>
  <si>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</si>
  <si>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</si>
  <si>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</si>
  <si>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</si>
  <si>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</si>
  <si>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</si>
  <si>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</si>
  <si>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</si>
  <si>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</si>
  <si>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</si>
  <si>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</si>
  <si>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</si>
  <si>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</si>
  <si>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</si>
  <si>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</si>
  <si>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</si>
  <si>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</si>
  <si>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</si>
  <si>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</si>
  <si>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</si>
  <si>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</si>
  <si>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</si>
  <si>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</si>
  <si>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</si>
  <si>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</si>
  <si>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</si>
  <si>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</si>
  <si>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</si>
  <si>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</si>
  <si>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</si>
  <si>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</si>
  <si>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</si>
  <si>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</si>
  <si>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</si>
  <si>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</si>
  <si>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</si>
  <si>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</si>
  <si>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</si>
  <si>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</si>
  <si>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</si>
  <si>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</si>
  <si>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</si>
  <si>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</si>
  <si>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</si>
  <si>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</si>
  <si>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</si>
  <si>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</si>
  <si>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</si>
  <si>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</si>
  <si>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</si>
  <si>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</si>
  <si>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</si>
  <si>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</si>
  <si>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</si>
  <si>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</si>
  <si>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</si>
  <si>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</si>
  <si>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</si>
  <si>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</si>
  <si>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</si>
  <si>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</si>
  <si>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</si>
  <si>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</si>
  <si>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</si>
  <si>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</si>
  <si>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</si>
  <si>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</si>
  <si>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</si>
  <si>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</si>
  <si>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</si>
  <si>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</si>
  <si>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</si>
  <si>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</si>
  <si>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</si>
  <si>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</si>
  <si>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</si>
  <si>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</si>
  <si>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</si>
  <si>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</si>
  <si>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</si>
  <si>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</si>
  <si>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</si>
  <si>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</si>
  <si>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</si>
  <si>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</si>
  <si>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</si>
  <si>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</si>
  <si>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</si>
  <si>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</si>
  <si>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</si>
  <si>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</si>
  <si>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</si>
  <si>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</si>
  <si>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</si>
  <si>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</si>
  <si>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</si>
  <si>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</si>
  <si>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</si>
  <si>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</si>
  <si>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</si>
  <si>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</si>
  <si>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</si>
  <si>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</si>
  <si>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</si>
  <si>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</si>
  <si>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</si>
  <si>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</si>
  <si>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</si>
  <si>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</si>
  <si>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</si>
  <si>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</si>
  <si>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</si>
  <si>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</si>
  <si>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</si>
  <si>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</si>
  <si>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</si>
  <si>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</si>
  <si>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</si>
  <si>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</si>
  <si>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</si>
  <si>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</si>
  <si>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</si>
  <si>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</si>
  <si>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</si>
  <si>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</si>
  <si>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</si>
  <si>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</si>
  <si>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</si>
  <si>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</si>
  <si>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</si>
  <si>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</si>
  <si>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</si>
  <si>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</si>
  <si>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</si>
  <si>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</si>
  <si>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</si>
  <si>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</si>
  <si>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</si>
  <si>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</si>
  <si>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</si>
  <si>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</si>
  <si>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</si>
  <si>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</si>
  <si>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</si>
  <si>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</si>
  <si>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</si>
  <si>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</si>
  <si>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Not Throws ConflictException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</si>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</sst>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6" fillId="0" borderId="1" xfId="0" applyFont="1" applyBorder="1"/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0" fontId="5" fillId="11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FIWDEE_UnitTest_Code/FIWDEE_UnitTest_Design_v2.xlsx" TargetMode="External"/><Relationship Id="rId2" Type="http://schemas.openxmlformats.org/officeDocument/2006/relationships/externalLinkPath" Target="file:///C:\Users\User\Downloads\FIWDEE_UnitTest_Code\FIWDEE_UnitTest_Design_v2.xlsx" TargetMode="External"/><Relationship Id="rId1" Type="http://schemas.openxmlformats.org/officeDocument/2006/relationships/externalLinkPath" Target="/Users/User/Downloads/FIWDEE_UnitTest_Code/FIWDEE_UnitTest_Design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 Summary"/>
      <sheetName val="Test Approach"/>
      <sheetName val="Defect Summary"/>
      <sheetName val="UT01_CreateBooking_EC"/>
      <sheetName val="UT02_CreateBooking_DT"/>
      <sheetName val="UT03_CreateBooking_Time_BVA"/>
      <sheetName val="UT04_Overlap_Buffer_BVA"/>
      <sheetName val="UT05_CancelBooking_DT"/>
      <sheetName val="UT06_Cancel_2h_BVA"/>
      <sheetName val="UT07_GetBookingById_DT"/>
      <sheetName val="UT08_BookingState_DT"/>
      <sheetName val="UT09_StateFactory_EC"/>
      <sheetName val="UT10_Availability_BVA"/>
      <sheetName val="UT11_Availability_EC"/>
      <sheetName val="UT12_BookingMapper_EC"/>
      <sheetName val="UT13_ProcessPayment_DT"/>
      <sheetName val="UT14_Payment_Promo_Status_EC"/>
      <sheetName val="UT15_FixedDiscount_BVA"/>
      <sheetName val="UT16_PercentDiscount_EC"/>
      <sheetName val="UT17_DiscountFactory_EC"/>
      <sheetName val="UT18_PaymentStrategy_EC"/>
      <sheetName val="UT19_Refund_Amount_BVA"/>
      <sheetName val="UT20_Refund_EC"/>
      <sheetName val="UT21_CheckIn_Window_BVA"/>
      <sheetName val="UT22_CheckIn_Queue_EC"/>
      <sheetName val="UT23_QueueStatus_DT"/>
      <sheetName val="UT24_TherapistExec_DT"/>
      <sheetName val="UT25_Review_Rating_BVA"/>
      <sheetName val="UT26_Review_EC"/>
      <sheetName val="UT27_Login_DT"/>
      <sheetName val="UT28_Register_EC"/>
      <sheetName val="UT29_UpdateProfile_DT"/>
      <sheetName val="UT30_UserSession_BVA"/>
      <sheetName val="UT31_JwtToken_EC"/>
      <sheetName val="UT32_RoomService_EC"/>
      <sheetName val="UT33_ServiceCatalog_EC"/>
      <sheetName val="UT34_Schedule_Shift_BVA"/>
      <sheetName val="UT35_ShopHours_BVA"/>
      <sheetName val="UT36_RevenueReport_BVA"/>
      <sheetName val="Open Questions"/>
    </sheetNames>
    <sheetDataSet>
      <sheetData sheetId="0"/>
      <sheetData sheetId="1"/>
      <sheetData sheetId="2"/>
      <sheetData sheetId="3"/>
      <sheetData sheetId="4">
        <row r="29">
          <cell r="H29" t="str">
            <v>No run</v>
          </cell>
        </row>
        <row r="30">
          <cell r="H30" t="str">
            <v>No run</v>
          </cell>
        </row>
        <row r="31">
          <cell r="H31" t="str">
            <v>No run</v>
          </cell>
        </row>
        <row r="32">
          <cell r="H32" t="str">
            <v>No run</v>
          </cell>
        </row>
        <row r="33">
          <cell r="H33" t="str">
            <v>No run</v>
          </cell>
        </row>
        <row r="34">
          <cell r="H34" t="str">
            <v>No run</v>
          </cell>
        </row>
        <row r="35">
          <cell r="H35" t="str">
            <v>No run</v>
          </cell>
        </row>
        <row r="36">
          <cell r="H36" t="str">
            <v>No run</v>
          </cell>
        </row>
        <row r="37">
          <cell r="H37" t="str">
            <v>No run</v>
          </cell>
        </row>
        <row r="38">
          <cell r="H38" t="str">
            <v>No run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I6"/>
  <sheetViews>
    <sheetView tabSelected="1" workbookViewId="0">
      <selection activeCell="K4" sqref="K4"/>
    </sheetView>
  </sheetViews>
  <sheetFormatPr defaultRowHeight="16.5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9" ht="21">
      <c r="A1" s="26" t="s">
        <v>0</v>
      </c>
      <c r="B1" s="26"/>
      <c r="C1" s="26"/>
      <c r="D1" s="26"/>
      <c r="E1" s="26"/>
      <c r="F1" s="26"/>
      <c r="G1" s="1"/>
      <c r="H1" s="1"/>
      <c r="I1" s="1"/>
    </row>
    <row r="2" spans="1:9" ht="4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9" ht="21">
      <c r="A3" s="27" t="s">
        <v>10</v>
      </c>
      <c r="B3" s="27"/>
      <c r="C3" s="27"/>
      <c r="D3" s="27"/>
      <c r="E3" s="27"/>
      <c r="F3" s="27"/>
      <c r="G3" s="27"/>
      <c r="H3" s="27"/>
      <c r="I3" s="27"/>
    </row>
    <row r="4" spans="1:9" ht="42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9" ht="64.5" customHeight="1">
      <c r="A5" s="3">
        <v>2</v>
      </c>
      <c r="B5" s="4" t="s">
        <v>220</v>
      </c>
      <c r="C5" s="4" t="s">
        <v>221</v>
      </c>
      <c r="D5" s="3">
        <f>COUNTA(UT02_CreateBooking_DT!$B$29:$B$38)</f>
        <v>10</v>
      </c>
      <c r="E5" s="3">
        <f>COUNTIF(UT02_CreateBooking_DT!$H$29:$H$38,"Pass")</f>
        <v>9</v>
      </c>
      <c r="F5" s="3">
        <f>COUNTIF(UT02_CreateBooking_DT!$H$29:$H$38,"Fail")</f>
        <v>1</v>
      </c>
      <c r="G5" s="3">
        <f>COUNTIF(UT02_CreateBooking_DT!$H$29:$H$38,"No run")</f>
        <v>0</v>
      </c>
      <c r="H5" s="3">
        <f>COUNTIF([1]UT02_CreateBooking_DT!$H$29:$H$38,"Block")</f>
        <v>0</v>
      </c>
      <c r="I5" s="4" t="s">
        <v>215</v>
      </c>
    </row>
    <row r="6" spans="1:9" ht="21">
      <c r="A6" s="25" t="s">
        <v>13</v>
      </c>
      <c r="B6" s="25"/>
      <c r="C6" s="25"/>
      <c r="D6" s="5" cm="1">
        <f t="array" ref="D6">SUMPRODUCT(ISNUMBER(D4:D5)*D4:D5)</f>
        <v>25</v>
      </c>
      <c r="E6" s="6" cm="1">
        <f t="array" ref="E6">SUMPRODUCT(ISNUMBER(E4:E5)*E4:E5)</f>
        <v>24</v>
      </c>
      <c r="F6" s="7" cm="1">
        <f t="array" ref="F6">SUMPRODUCT(ISNUMBER(F4:F5)*F4:F5)</f>
        <v>1</v>
      </c>
      <c r="G6" s="5" cm="1">
        <f t="array" ref="G6">SUMPRODUCT(ISNUMBER(G4:G5)*G4:G5)</f>
        <v>0</v>
      </c>
      <c r="H6" s="5" cm="1">
        <f t="array" ref="H6">SUMPRODUCT(ISNUMBER(H4:H5)*H4:H5)</f>
        <v>0</v>
      </c>
      <c r="I6" s="4"/>
    </row>
  </sheetData>
  <mergeCells count="3">
    <mergeCell ref="A6:C6"/>
    <mergeCell ref="A1:F1"/>
    <mergeCell ref="A3:I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topLeftCell="A35" workbookViewId="0">
      <selection activeCell="J21" sqref="J21"/>
    </sheetView>
  </sheetViews>
  <sheetFormatPr defaultColWidth="7.625" defaultRowHeight="23.2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>
      <c r="A1" s="22" t="s">
        <v>14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ht="24" thickBot="1">
      <c r="A2" s="9" t="s">
        <v>15</v>
      </c>
      <c r="F2" s="23" t="s">
        <v>16</v>
      </c>
      <c r="G2" s="23"/>
    </row>
    <row r="3" spans="1:10" ht="24" thickBot="1">
      <c r="A3" s="10" t="s">
        <v>17</v>
      </c>
      <c r="B3" s="24" t="s">
        <v>18</v>
      </c>
      <c r="C3" s="24"/>
      <c r="D3" s="24"/>
      <c r="F3" s="10" t="s">
        <v>17</v>
      </c>
      <c r="G3" s="24" t="s">
        <v>18</v>
      </c>
      <c r="H3" s="24"/>
      <c r="I3" s="24"/>
      <c r="J3" s="24"/>
    </row>
    <row r="4" spans="1:10" ht="24" thickBot="1">
      <c r="A4" s="11" t="s">
        <v>19</v>
      </c>
      <c r="B4" s="20" t="s">
        <v>20</v>
      </c>
      <c r="C4" s="20"/>
      <c r="D4" s="20"/>
      <c r="F4" s="11" t="s">
        <v>21</v>
      </c>
      <c r="G4" s="20" t="s">
        <v>22</v>
      </c>
      <c r="H4" s="20"/>
      <c r="I4" s="20"/>
      <c r="J4" s="20"/>
    </row>
    <row r="5" spans="1:10" ht="24" thickBot="1">
      <c r="A5" s="11" t="s">
        <v>23</v>
      </c>
      <c r="B5" s="20" t="s">
        <v>24</v>
      </c>
      <c r="C5" s="20"/>
      <c r="D5" s="20"/>
      <c r="F5" s="11" t="s">
        <v>25</v>
      </c>
      <c r="G5" s="20" t="s">
        <v>26</v>
      </c>
      <c r="H5" s="20"/>
      <c r="I5" s="20"/>
      <c r="J5" s="20"/>
    </row>
    <row r="6" spans="1:10" ht="24" thickBot="1">
      <c r="A6" s="11" t="s">
        <v>27</v>
      </c>
      <c r="B6" s="20" t="s">
        <v>28</v>
      </c>
      <c r="C6" s="20"/>
      <c r="D6" s="20"/>
      <c r="F6" s="11" t="s">
        <v>29</v>
      </c>
      <c r="G6" s="20" t="s">
        <v>30</v>
      </c>
      <c r="H6" s="20"/>
      <c r="I6" s="20"/>
      <c r="J6" s="20"/>
    </row>
    <row r="7" spans="1:10" ht="24" thickBot="1">
      <c r="A7" s="11" t="s">
        <v>31</v>
      </c>
      <c r="B7" s="20" t="s">
        <v>32</v>
      </c>
      <c r="C7" s="20"/>
      <c r="D7" s="20"/>
      <c r="F7" s="11" t="s">
        <v>33</v>
      </c>
      <c r="G7" s="20" t="s">
        <v>34</v>
      </c>
      <c r="H7" s="20"/>
      <c r="I7" s="20"/>
      <c r="J7" s="20"/>
    </row>
    <row r="8" spans="1:10" ht="24" thickBot="1">
      <c r="A8" s="11" t="s">
        <v>35</v>
      </c>
      <c r="B8" s="20" t="s">
        <v>36</v>
      </c>
      <c r="C8" s="20"/>
      <c r="D8" s="20"/>
      <c r="F8" s="11" t="s">
        <v>37</v>
      </c>
      <c r="G8" s="20" t="s">
        <v>38</v>
      </c>
      <c r="H8" s="20"/>
      <c r="I8" s="20"/>
      <c r="J8" s="20"/>
    </row>
    <row r="9" spans="1:10" ht="24" thickBot="1">
      <c r="A9" s="11" t="s">
        <v>39</v>
      </c>
      <c r="B9" s="20" t="s">
        <v>40</v>
      </c>
      <c r="C9" s="20"/>
      <c r="D9" s="20"/>
      <c r="F9" s="11" t="s">
        <v>41</v>
      </c>
      <c r="G9" s="20" t="s">
        <v>42</v>
      </c>
      <c r="H9" s="20"/>
      <c r="I9" s="20"/>
      <c r="J9" s="20"/>
    </row>
    <row r="10" spans="1:10" ht="24" thickBot="1">
      <c r="F10" s="11" t="s">
        <v>43</v>
      </c>
      <c r="G10" s="20" t="s">
        <v>44</v>
      </c>
      <c r="H10" s="20"/>
      <c r="I10" s="20"/>
      <c r="J10" s="20"/>
    </row>
    <row r="11" spans="1:10" ht="24" thickBot="1">
      <c r="F11" s="11" t="s">
        <v>45</v>
      </c>
      <c r="G11" s="20" t="s">
        <v>46</v>
      </c>
      <c r="H11" s="20"/>
      <c r="I11" s="20"/>
      <c r="J11" s="20"/>
    </row>
    <row r="12" spans="1:10" ht="24" thickBot="1">
      <c r="F12" s="11" t="s">
        <v>47</v>
      </c>
      <c r="G12" s="20" t="s">
        <v>48</v>
      </c>
      <c r="H12" s="20"/>
      <c r="I12" s="20"/>
      <c r="J12" s="20"/>
    </row>
    <row r="13" spans="1:10" ht="24" thickBot="1">
      <c r="F13" s="11" t="s">
        <v>49</v>
      </c>
      <c r="G13" s="20" t="s">
        <v>50</v>
      </c>
      <c r="H13" s="20"/>
      <c r="I13" s="20"/>
      <c r="J13" s="20"/>
    </row>
    <row r="14" spans="1:10" ht="24" thickBot="1">
      <c r="F14" s="11" t="s">
        <v>51</v>
      </c>
      <c r="G14" s="20" t="s">
        <v>52</v>
      </c>
      <c r="H14" s="20"/>
      <c r="I14" s="20"/>
      <c r="J14" s="20"/>
    </row>
    <row r="15" spans="1:10" ht="24" thickBot="1">
      <c r="F15" s="11" t="s">
        <v>53</v>
      </c>
      <c r="G15" s="20" t="s">
        <v>54</v>
      </c>
      <c r="H15" s="20"/>
      <c r="I15" s="20"/>
      <c r="J15" s="20"/>
    </row>
    <row r="16" spans="1:10" ht="24" thickBot="1">
      <c r="F16" s="11" t="s">
        <v>55</v>
      </c>
      <c r="G16" s="20" t="s">
        <v>56</v>
      </c>
      <c r="H16" s="20"/>
      <c r="I16" s="20"/>
      <c r="J16" s="20"/>
    </row>
    <row r="18" spans="1:10">
      <c r="A18" s="21" t="s">
        <v>57</v>
      </c>
      <c r="B18" s="21"/>
      <c r="C18" s="21"/>
      <c r="D18" s="21"/>
      <c r="E18" s="21"/>
      <c r="F18" s="21"/>
      <c r="G18" s="21"/>
      <c r="H18" s="21"/>
      <c r="I18" s="21"/>
      <c r="J18" s="21"/>
    </row>
    <row r="20" spans="1:10">
      <c r="A20" s="12" t="s">
        <v>58</v>
      </c>
      <c r="B20" s="18" t="s">
        <v>59</v>
      </c>
      <c r="C20" s="18"/>
      <c r="D20" s="18"/>
      <c r="E20" s="18"/>
      <c r="F20" s="18"/>
      <c r="G20" s="18"/>
      <c r="H20" s="18"/>
      <c r="I20" s="12" t="s">
        <v>60</v>
      </c>
      <c r="J20" s="14" t="s">
        <v>154</v>
      </c>
    </row>
    <row r="21" spans="1:10">
      <c r="A21" s="12" t="s">
        <v>61</v>
      </c>
      <c r="B21" s="18" t="s">
        <v>62</v>
      </c>
      <c r="C21" s="18"/>
      <c r="D21" s="18"/>
      <c r="E21" s="18"/>
      <c r="F21" s="18"/>
      <c r="G21" s="18"/>
      <c r="H21" s="18"/>
      <c r="I21" s="12" t="s">
        <v>63</v>
      </c>
      <c r="J21" s="14" t="s">
        <v>156</v>
      </c>
    </row>
    <row r="22" spans="1:10" ht="46.5">
      <c r="A22" s="12" t="s">
        <v>64</v>
      </c>
      <c r="B22" s="18" t="s">
        <v>65</v>
      </c>
      <c r="C22" s="18"/>
      <c r="D22" s="18"/>
      <c r="E22" s="18"/>
      <c r="F22" s="18"/>
      <c r="G22" s="18"/>
      <c r="H22" s="18"/>
      <c r="I22" s="12" t="s">
        <v>66</v>
      </c>
      <c r="J22" s="13" t="s">
        <v>67</v>
      </c>
    </row>
    <row r="23" spans="1:10" ht="46.5">
      <c r="A23" s="12" t="s">
        <v>68</v>
      </c>
      <c r="B23" s="18" t="s">
        <v>69</v>
      </c>
      <c r="C23" s="18"/>
      <c r="D23" s="18"/>
      <c r="E23" s="18"/>
      <c r="F23" s="18"/>
      <c r="G23" s="18"/>
      <c r="H23" s="18"/>
      <c r="I23" s="18"/>
      <c r="J23" s="18"/>
    </row>
    <row r="24" spans="1:10" ht="46.5">
      <c r="A24" s="12" t="s">
        <v>70</v>
      </c>
      <c r="B24" s="18" t="s">
        <v>71</v>
      </c>
      <c r="C24" s="18"/>
      <c r="D24" s="18"/>
      <c r="E24" s="18"/>
      <c r="F24" s="18"/>
      <c r="G24" s="18"/>
      <c r="H24" s="18"/>
      <c r="I24" s="18"/>
      <c r="J24" s="18"/>
    </row>
    <row r="26" spans="1:10">
      <c r="A26" s="19" t="s">
        <v>72</v>
      </c>
      <c r="B26" s="19" t="s">
        <v>73</v>
      </c>
      <c r="C26" s="19"/>
      <c r="D26" s="19"/>
      <c r="E26" s="19"/>
      <c r="F26" s="19"/>
      <c r="G26" s="19"/>
      <c r="H26" s="19" t="s">
        <v>74</v>
      </c>
      <c r="I26" s="19" t="s">
        <v>75</v>
      </c>
      <c r="J26" s="19" t="s">
        <v>76</v>
      </c>
    </row>
    <row r="27" spans="1:10" ht="46.5">
      <c r="A27" s="19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19"/>
      <c r="I27" s="19"/>
      <c r="J27" s="19"/>
    </row>
    <row r="28" spans="1:10" ht="162.7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A1:J1"/>
    <mergeCell ref="F2:G2"/>
    <mergeCell ref="B3:D3"/>
    <mergeCell ref="G3:J3"/>
    <mergeCell ref="B4:D4"/>
    <mergeCell ref="G4:J4"/>
    <mergeCell ref="B5:D5"/>
    <mergeCell ref="G5:J5"/>
    <mergeCell ref="B6:D6"/>
    <mergeCell ref="G6:J6"/>
    <mergeCell ref="B7:D7"/>
    <mergeCell ref="G7:J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A26:A27"/>
    <mergeCell ref="B26:G26"/>
    <mergeCell ref="H26:H27"/>
    <mergeCell ref="I26:I27"/>
    <mergeCell ref="J26:J27"/>
    <mergeCell ref="B20:H20"/>
    <mergeCell ref="B21:H21"/>
    <mergeCell ref="B22:H22"/>
    <mergeCell ref="B23:J23"/>
    <mergeCell ref="B24:J24"/>
  </mergeCells>
  <conditionalFormatting sqref="J28:J42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topLeftCell="A34" workbookViewId="0">
      <selection activeCell="J38" sqref="J38"/>
    </sheetView>
  </sheetViews>
  <sheetFormatPr defaultColWidth="7.625" defaultRowHeight="23.2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>
      <c r="A1" s="28" t="s">
        <v>18</v>
      </c>
      <c r="B1" s="29" t="s">
        <v>126</v>
      </c>
      <c r="C1" s="29" t="s">
        <v>127</v>
      </c>
      <c r="D1" s="29" t="s">
        <v>128</v>
      </c>
      <c r="E1" s="29" t="s">
        <v>129</v>
      </c>
      <c r="F1" s="29" t="s">
        <v>130</v>
      </c>
      <c r="G1" s="29" t="s">
        <v>131</v>
      </c>
      <c r="H1" s="29" t="s">
        <v>132</v>
      </c>
      <c r="I1" s="29" t="s">
        <v>133</v>
      </c>
    </row>
    <row r="2" spans="1:9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>
      <c r="A9" s="28" t="s">
        <v>143</v>
      </c>
      <c r="B9" s="30"/>
      <c r="C9" s="30"/>
      <c r="D9" s="30"/>
      <c r="E9" s="30"/>
      <c r="F9" s="30"/>
      <c r="G9" s="30"/>
      <c r="H9" s="30"/>
      <c r="I9" s="30"/>
    </row>
    <row r="10" spans="1:9" ht="46.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>
      <c r="A17" s="31" t="s">
        <v>152</v>
      </c>
      <c r="B17" s="31"/>
      <c r="C17" s="31"/>
      <c r="D17" s="31"/>
      <c r="E17" s="31"/>
      <c r="F17" s="31"/>
      <c r="G17" s="31"/>
      <c r="H17" s="31"/>
      <c r="I17" s="31"/>
    </row>
    <row r="19" spans="1:9">
      <c r="A19" s="21" t="s">
        <v>57</v>
      </c>
      <c r="B19" s="21"/>
      <c r="C19" s="21"/>
      <c r="D19" s="21"/>
      <c r="E19" s="21"/>
      <c r="F19" s="21"/>
      <c r="G19" s="21"/>
      <c r="H19" s="21"/>
      <c r="I19" s="21"/>
    </row>
    <row r="21" spans="1:9" ht="46.5">
      <c r="A21" s="12" t="s">
        <v>58</v>
      </c>
      <c r="B21" s="18" t="s">
        <v>153</v>
      </c>
      <c r="C21" s="18"/>
      <c r="D21" s="18"/>
      <c r="E21" s="18"/>
      <c r="F21" s="18"/>
      <c r="G21" s="32"/>
      <c r="H21" s="12" t="s">
        <v>60</v>
      </c>
      <c r="I21" s="14" t="s">
        <v>154</v>
      </c>
    </row>
    <row r="22" spans="1:9" ht="46.5">
      <c r="A22" s="12" t="s">
        <v>61</v>
      </c>
      <c r="B22" s="18" t="s">
        <v>155</v>
      </c>
      <c r="C22" s="18"/>
      <c r="D22" s="18"/>
      <c r="E22" s="18"/>
      <c r="F22" s="18"/>
      <c r="G22" s="32"/>
      <c r="H22" s="12" t="s">
        <v>63</v>
      </c>
      <c r="I22" s="14" t="s">
        <v>156</v>
      </c>
    </row>
    <row r="23" spans="1:9">
      <c r="A23" s="12" t="s">
        <v>64</v>
      </c>
      <c r="B23" s="33" t="s">
        <v>65</v>
      </c>
      <c r="C23" s="34"/>
      <c r="D23" s="34"/>
      <c r="E23" s="34"/>
      <c r="F23" s="35"/>
      <c r="G23" s="32"/>
      <c r="H23" s="12" t="s">
        <v>66</v>
      </c>
      <c r="I23" s="13" t="s">
        <v>67</v>
      </c>
    </row>
    <row r="24" spans="1:9">
      <c r="A24" s="12" t="s">
        <v>68</v>
      </c>
      <c r="B24" s="18" t="s">
        <v>157</v>
      </c>
      <c r="C24" s="18"/>
      <c r="D24" s="18"/>
      <c r="E24" s="18"/>
      <c r="F24" s="18"/>
      <c r="G24" s="18"/>
      <c r="H24" s="18"/>
      <c r="I24" s="18"/>
    </row>
    <row r="25" spans="1:9">
      <c r="A25" s="12" t="s">
        <v>70</v>
      </c>
      <c r="B25" s="18" t="s">
        <v>158</v>
      </c>
      <c r="C25" s="18"/>
      <c r="D25" s="18"/>
      <c r="E25" s="18"/>
      <c r="F25" s="18"/>
      <c r="G25" s="18"/>
      <c r="H25" s="18"/>
      <c r="I25" s="18"/>
    </row>
    <row r="27" spans="1:9">
      <c r="A27" s="19" t="s">
        <v>159</v>
      </c>
      <c r="B27" s="19" t="s">
        <v>72</v>
      </c>
      <c r="C27" s="19" t="s">
        <v>73</v>
      </c>
      <c r="D27" s="19"/>
      <c r="E27" s="19"/>
      <c r="F27" s="19" t="s">
        <v>74</v>
      </c>
      <c r="G27" s="19" t="s">
        <v>75</v>
      </c>
      <c r="H27" s="19" t="s">
        <v>76</v>
      </c>
    </row>
    <row r="28" spans="1:9" ht="46.5">
      <c r="A28" s="19"/>
      <c r="B28" s="19"/>
      <c r="C28" s="15" t="s">
        <v>81</v>
      </c>
      <c r="D28" s="15" t="s">
        <v>160</v>
      </c>
      <c r="E28" s="15" t="s">
        <v>161</v>
      </c>
      <c r="F28" s="19"/>
      <c r="G28" s="19"/>
      <c r="H28" s="19"/>
    </row>
    <row r="29" spans="1:9" ht="69.7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204</v>
      </c>
      <c r="G30" s="13" t="s">
        <v>203</v>
      </c>
      <c r="H30" s="17" t="s">
        <v>6</v>
      </c>
    </row>
    <row r="31" spans="1:9" ht="93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5:I25"/>
    <mergeCell ref="A27:A28"/>
    <mergeCell ref="B27:B28"/>
    <mergeCell ref="C27:E27"/>
    <mergeCell ref="F27:F28"/>
    <mergeCell ref="G27:G28"/>
    <mergeCell ref="H27:H28"/>
    <mergeCell ref="A17:I17"/>
    <mergeCell ref="A19:I19"/>
    <mergeCell ref="B21:F21"/>
    <mergeCell ref="B22:F22"/>
    <mergeCell ref="B23:F23"/>
    <mergeCell ref="B24:I24"/>
  </mergeCells>
  <conditionalFormatting sqref="H29:H38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2"/>
  <sheetViews>
    <sheetView workbookViewId="0">
      <selection activeCell="L4" sqref="L4"/>
    </sheetView>
  </sheetViews>
  <sheetFormatPr defaultColWidth="7.625" defaultRowHeight="23.2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5" width="9.625" style="8" customWidth="1"/>
    <col min="6" max="6" width="12.25" style="8" customWidth="1"/>
    <col min="7" max="9" width="9.625" style="8" customWidth="1"/>
    <col min="10" max="10" width="10.5" style="8" customWidth="1"/>
    <col min="11" max="11" width="63" style="8" customWidth="1"/>
    <col min="12" max="16384" width="7.625" style="8"/>
  </cols>
  <sheetData>
    <row r="1" spans="1:11" ht="46.5">
      <c r="A1" s="36" t="s">
        <v>1</v>
      </c>
      <c r="B1" s="36" t="s">
        <v>205</v>
      </c>
      <c r="C1" s="36" t="s">
        <v>206</v>
      </c>
      <c r="D1" s="36" t="s">
        <v>207</v>
      </c>
      <c r="E1" s="36" t="s">
        <v>208</v>
      </c>
      <c r="F1" s="36" t="s">
        <v>209</v>
      </c>
      <c r="G1" s="36" t="s">
        <v>210</v>
      </c>
      <c r="H1" s="36" t="s">
        <v>211</v>
      </c>
      <c r="I1" s="36" t="s">
        <v>212</v>
      </c>
      <c r="J1" s="36" t="s">
        <v>213</v>
      </c>
      <c r="K1" s="36" t="s">
        <v>214</v>
      </c>
    </row>
    <row r="2" spans="1:11" ht="69.75">
      <c r="A2" s="17">
        <v>1</v>
      </c>
      <c r="B2" s="17" t="s">
        <v>215</v>
      </c>
      <c r="C2" s="13" t="s">
        <v>218</v>
      </c>
      <c r="D2" s="17" t="s">
        <v>67</v>
      </c>
      <c r="E2" s="13"/>
      <c r="F2" s="14" t="s">
        <v>156</v>
      </c>
      <c r="G2" s="17" t="s">
        <v>216</v>
      </c>
      <c r="H2" s="17" t="s">
        <v>217</v>
      </c>
      <c r="I2" s="17" t="s">
        <v>217</v>
      </c>
      <c r="J2" s="13"/>
      <c r="K2" s="13" t="s">
        <v>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 Summary</vt:lpstr>
      <vt:lpstr>UT01_CreateBooking_EC</vt:lpstr>
      <vt:lpstr>UT02_CreateBooking_DT</vt:lpstr>
      <vt:lpstr>Defect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2026-10-09T17:41:46Z</dcterms:modified>
</cp:coreProperties>
</file>