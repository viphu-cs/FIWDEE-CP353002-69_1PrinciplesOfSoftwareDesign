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EC37DD3C-22CA-49B2-A730-DA146FE1F5C0}" xr6:coauthVersionLast="47" xr6:coauthVersionMax="47" xr10:uidLastSave="{00000000-0000-0000-0000-000000000000}"/>
  <bookViews>
    <workbookView xWindow="-120" yWindow="-120" windowWidth="29040" windowHeight="15720" firstSheet="14" activeTab="14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</sheets>
  <externalReferences>
    <externalReference r:id="rId21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2" i="1" l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F23" i="1" s="1" a="1"/>
  <c r="E4" i="1"/>
  <c r="E23" i="1" s="1" a="1"/>
  <c r="D4" i="1"/>
  <c r="D23" i="1" s="1" a="1"/>
  <c r="G5" i="1"/>
  <c r="G23" i="1" s="1" a="1"/>
  <c r="F5" i="1"/>
  <c r="H5" i="1"/>
  <c r="H23" i="1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<sst xmlns="http://schemas.openxmlformats.org/spreadsheetml/2006/main" count="2850" uniqueCount="1115">
  <si>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</si>
  <si>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</si>
  <si>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</si>
  <si>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</si>
  <si>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</si>
  <si>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</si>
  <si>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</si>
  <si>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</si>
  <si>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</si>
  <si>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</si>
  <si>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</si>
  <si>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</si>
  <si>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</si>
  <si>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</si>
  <si>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</si>
  <si>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</si>
  <si>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</si>
  <si>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</si>
  <si>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</si>
  <si>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</si>
  <si>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</si>
  <si>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</si>
  <si>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</si>
  <si>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</si>
  <si>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</si>
  <si>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</si>
  <si>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</si>
  <si>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</si>
  <si>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</si>
  <si>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</si>
  <si>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</si>
  <si>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</si>
  <si>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</si>
  <si>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</si>
  <si>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</si>
  <si>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</si>
  <si>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</si>
  <si>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</si>
  <si>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</si>
  <si>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</si>
  <si>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</si>
  <si>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</si>
  <si>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</si>
  <si>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</si>
  <si>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</si>
  <si>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</si>
  <si>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</si>
  <si>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</si>
  <si>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</si>
  <si>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</si>
  <si>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</si>
  <si>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</si>
  <si>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</si>
  <si>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</si>
  <si>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</si>
  <si>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</si>
  <si>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</si>
  <si>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</si>
  <si>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</si>
  <si>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</si>
  <si>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</si>
  <si>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</si>
  <si>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</si>
  <si>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</si>
  <si>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</si>
  <si>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</si>
  <si>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</si>
  <si>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</si>
  <si>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</si>
  <si>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</si>
  <si>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</si>
  <si>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</si>
  <si>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</si>
  <si>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</si>
  <si>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</si>
  <si>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</si>
  <si>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</si>
  <si>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</si>
  <si>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</si>
  <si>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</si>
  <si>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</si>
  <si>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</si>
  <si>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</si>
  <si>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</si>
  <si>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</si>
  <si>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</si>
  <si>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</si>
  <si>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</si>
  <si>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</si>
  <si>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</si>
  <si>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</si>
  <si>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</si>
  <si>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</si>
  <si>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</si>
  <si>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</si>
  <si>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</si>
  <si>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</si>
  <si>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</si>
  <si>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</si>
  <si>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</si>
  <si>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</si>
  <si>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</si>
  <si>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</si>
  <si>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</si>
  <si>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</si>
  <si>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</si>
  <si>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</si>
  <si>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</si>
  <si>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</si>
  <si>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</si>
  <si>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</si>
  <si>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</si>
  <si>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</si>
  <si>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</si>
  <si>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</si>
  <si>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</si>
  <si>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</si>
  <si>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</si>
  <si>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</si>
  <si>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</si>
  <si>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</si>
  <si>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</si>
  <si>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</si>
  <si>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</si>
  <si>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</si>
  <si>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</si>
  <si>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</si>
  <si>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</si>
  <si>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</si>
  <si>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</si>
  <si>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</si>
  <si>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</si>
  <si>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</si>
  <si>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</si>
  <si>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</si>
  <si>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</si>
  <si>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</si>
  <si>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</si>
  <si>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</si>
  <si>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</si>
  <si>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</si>
  <si>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</si>
  <si>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</si>
  <si>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</si>
  <si>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</si>
  <si>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</si>
  <si>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</si>
  <si>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</si>
  <si>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</si>
  <si>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</si>
  <si>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</si>
  <si>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</si>
  <si>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</si>
  <si>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</si>
  <si>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</si>
  <si>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</si>
  <si>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</si>
  <si>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</si>
  <si>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</si>
  <si>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</si>
  <si>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</si>
  <si>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</si>
  <si>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</si>
  <si>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</si>
  <si>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</si>
  <si>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</si>
  <si>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</si>
  <si>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</si>
  <si>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</si>
  <si>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</si>
  <si>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</si>
  <si>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</si>
  <si>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</si>
  <si>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</si>
  <si>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</si>
  <si>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</si>
  <si>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</si>
  <si>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</si>
  <si>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</si>
  <si>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</si>
  <si>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</si>
  <si>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</si>
  <si>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</si>
  <si>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</si>
  <si>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</si>
  <si>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</si>
  <si>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</si>
  <si>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</si>
  <si>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</si>
  <si>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</si>
  <si>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</si>
  <si>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</si>
  <si>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</si>
  <si>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</si>
  <si>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</si>
  <si>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</si>
  <si>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</si>
  <si>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</si>
  <si>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</si>
  <si>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</si>
  <si>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</si>
  <si>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</si>
  <si>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</si>
  <si>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</si>
  <si>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</si>
  <si>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</si>
  <si>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</si>
  <si>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</si>
  <si>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</si>
  <si>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</si>
  <si>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</si>
  <si>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</si>
  <si>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</si>
  <si>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</si>
  <si>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</si>
  <si>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</si>
  <si>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</si>
  <si>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</si>
  <si>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</si>
  <si>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</si>
  <si>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</si>
  <si>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</si>
  <si>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</si>
  <si>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</si>
  <si>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</si>
  <si>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</si>
  <si>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</si>
  <si>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</si>
  <si>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</si>
  <si>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</si>
  <si>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</si>
  <si>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</si>
  <si>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</si>
  <si>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</si>
  <si>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</si>
  <si>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</si>
  <si>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</si>
  <si>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</si>
  <si>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</si>
  <si>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</si>
  <si>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</si>
  <si>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</si>
  <si>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</si>
  <si>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</si>
  <si>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</si>
  <si>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</si>
  <si>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</si>
  <si>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</si>
  <si>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</si>
  <si>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</si>
  <si>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</si>
  <si>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</si>
  <si>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</si>
  <si>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</si>
  <si>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</si>
  <si>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</si>
  <si>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</si>
  <si>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</si>
  <si>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</si>
  <si>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</si>
  <si>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</si>
  <si>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</si>
  <si>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</si>
  <si>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</si>
  <si>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</si>
  <si>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</si>
  <si>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</si>
  <si>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</si>
  <si>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</si>
  <si>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</si>
  <si>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</si>
  <si>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</si>
  <si>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</si>
  <si>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</si>
  <si>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</si>
  <si>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</si>
  <si>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</si>
  <si>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</si>
  <si>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</si>
  <si>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</si>
  <si>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</si>
  <si>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</si>
  <si>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</si>
  <si>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</si>
  <si>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</si>
  <si>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</si>
  <si>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</si>
  <si>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</si>
  <si>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</si>
  <si>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</si>
  <si>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</si>
  <si>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</si>
  <si>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</si>
  <si>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</si>
  <si>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</si>
  <si>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</si>
  <si>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</si>
  <si>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</si>
  <si>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</si>
  <si>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</si>
  <si>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</si>
  <si>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</si>
  <si>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</si>
  <si>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</si>
  <si>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</si>
  <si>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</si>
  <si>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</si>
  <si>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</si>
  <si>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</si>
  <si>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</si>
  <si>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</si>
  <si>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</si>
  <si>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</si>
  <si>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</si>
  <si>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</si>
  <si>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</si>
  <si>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</si>
  <si>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</si>
  <si>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</si>
  <si>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</si>
  <si>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</si>
  <si>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</si>
  <si>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</si>
  <si>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</si>
  <si>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</si>
  <si>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</si>
  <si>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</si>
  <si>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</si>
  <si>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</si>
  <si>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</si>
  <si>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</si>
  <si>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</si>
  <si>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</si>
  <si>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</si>
  <si>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</si>
  <si>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</si>
  <si>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</si>
  <si>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</si>
  <si>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</si>
  <si>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</si>
  <si>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</si>
  <si>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</si>
  <si>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</si>
  <si>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</si>
  <si>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</si>
  <si>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</si>
  <si>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</si>
  <si>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</si>
  <si>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</si>
  <si>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</si>
  <si>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</si>
  <si>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</si>
  <si>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</si>
  <si>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</si>
  <si>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</si>
  <si>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</si>
  <si>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</si>
  <si>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</si>
  <si>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</si>
  <si>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</si>
  <si>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</si>
  <si>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</si>
  <si>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</si>
  <si>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</si>
  <si>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</si>
  <si>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</si>
  <si>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</si>
  <si>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</si>
  <si>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</si>
  <si>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</si>
  <si>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</si>
  <si>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</si>
  <si>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</si>
  <si>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</si>
  <si>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</si>
  <si>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</si>
  <si>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</si>
  <si>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</si>
  <si>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</si>
  <si>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</si>
  <si>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</si>
  <si>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</si>
  <si>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</si>
  <si>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</si>
  <si>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</si>
  <si>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</si>
  <si>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</si>
  <si>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</si>
  <si>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</si>
  <si>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</si>
  <si>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</si>
  <si>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</si>
  <si>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</si>
  <si>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</si>
  <si>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</si>
  <si>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</si>
  <si>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</si>
  <si>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</si>
  <si>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</si>
  <si>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</si>
  <si>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</si>
  <si>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</si>
  <si>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</si>
  <si>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</si>
  <si>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</si>
  <si>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</si>
  <si>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</si>
  <si>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</si>
  <si>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</si>
  <si>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</si>
  <si>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</si>
  <si>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</si>
  <si>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</si>
  <si>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</si>
  <si>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</si>
  <si>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</si>
  <si>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</si>
  <si>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</si>
  <si>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</si>
  <si>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</si>
  <si>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</si>
  <si>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</si>
  <si>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</si>
  <si>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</si>
  <si>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</si>
  <si>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</si>
  <si>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</si>
  <si>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</si>
  <si>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</si>
  <si>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</si>
  <si>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</si>
  <si>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</si>
  <si>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</si>
  <si>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</si>
  <si>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</si>
  <si>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</si>
  <si>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</si>
  <si>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</si>
  <si>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</si>
  <si>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</si>
  <si>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</si>
  <si>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</si>
  <si>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</si>
  <si>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</si>
  <si>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</si>
  <si>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</si>
  <si>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</si>
  <si>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</si>
  <si>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</si>
  <si>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</si>
  <si>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</si>
  <si>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</si>
  <si>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</si>
  <si>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</si>
  <si>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</si>
  <si>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</si>
  <si>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</si>
  <si>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</si>
  <si>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</si>
  <si>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</si>
  <si>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</si>
  <si>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</si>
  <si>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</si>
  <si>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</si>
  <si>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</si>
  <si>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</si>
  <si>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</si>
  <si>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</si>
  <si>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</si>
  <si>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</si>
  <si>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</si>
  <si>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</si>
  <si>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</si>
  <si>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</si>
  <si>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</si>
  <si>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</si>
  <si>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</si>
  <si>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</si>
  <si>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</si>
  <si>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</si>
  <si>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</si>
  <si>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</si>
  <si>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</si>
  <si>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</si>
  <si>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</si>
  <si>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</si>
  <si>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</si>
  <si>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</si>
  <si>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</si>
  <si>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</si>
  <si>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</si>
  <si>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</si>
  <si>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</si>
  <si>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</si>
  <si>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</si>
  <si>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</si>
  <si>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</si>
  <si>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</si>
  <si>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</si>
  <si>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</si>
  <si>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</si>
  <si>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</si>
  <si>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</si>
  <si>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</si>
  <si>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</si>
  <si>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</si>
  <si>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</si>
  <si>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</si>
  <si>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</si>
  <si>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</si>
  <si>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</si>
  <si>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</si>
  <si>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</si>
  <si>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</si>
  <si>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</si>
  <si>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</si>
  <si>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</si>
  <si>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</si>
  <si>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</si>
  <si>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</si>
  <si>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</si>
  <si>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</si>
  <si>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</si>
  <si>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</si>
  <si>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</si>
  <si>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</si>
  <si>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</si>
  <si>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</si>
  <si>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</si>
  <si>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</si>
  <si>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</si>
  <si>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</si>
  <si>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</si>
  <si>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</si>
  <si>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</si>
  <si>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</si>
  <si>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</si>
  <si>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</si>
  <si>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</si>
  <si>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</si>
  <si>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</si>
  <si>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</si>
  <si>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</si>
  <si>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</si>
  <si>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</si>
  <si>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</si>
  <si>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</si>
  <si>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</si>
  <si>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</si>
  <si>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</si>
  <si>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</si>
  <si>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</si>
  <si>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</si>
  <si>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</si>
  <si>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</si>
  <si>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</si>
  <si>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</si>
  <si>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</si>
  <si>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</si>
  <si>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</si>
  <si>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</si>
  <si>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</si>
  <si>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</si>
  <si>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</si>
  <si>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</si>
  <si>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</si>
  <si>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</si>
  <si>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</si>
  <si>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</si>
  <si>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</si>
  <si>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</si>
  <si>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</si>
  <si>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</si>
  <si>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</si>
  <si>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</si>
  <si>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</si>
  <si>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</si>
  <si>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</si>
  <si>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</si>
  <si>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</si>
  <si>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</si>
  <si>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</si>
  <si>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</si>
  <si>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</si>
  <si>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</si>
  <si>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</si>
  <si>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</si>
  <si>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</si>
  <si>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</si>
  <si>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</si>
  <si>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</si>
  <si>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</si>
  <si>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</si>
  <si>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</si>
  <si>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</si>
  <si>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</si>
  <si>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</si>
  <si>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</si>
  <si>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</si>
  <si>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</si>
  <si>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</si>
  <si>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</si>
  <si>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</si>
  <si>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</si>
  <si>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</si>
  <si>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</si>
  <si>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</si>
  <si>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</si>
  <si>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</si>
  <si>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</si>
  <si>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</si>
  <si>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</si>
  <si>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</si>
  <si>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</si>
  <si>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</si>
  <si>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</si>
  <si>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</si>
  <si>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</si>
  <si>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</si>
  <si>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</si>
  <si>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</si>
  <si>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</si>
  <si>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</si>
  <si>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</si>
  <si>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</si>
  <si>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</si>
  <si>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</si>
  <si>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</si>
  <si>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</si>
  <si>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</si>
  <si>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</si>
  <si>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</si>
  <si>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</si>
  <si>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</si>
  <si>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</si>
  <si>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</si>
  <si>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</si>
  <si>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</si>
  <si>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</si>
  <si>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</si>
  <si>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</si>
  <si>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</si>
  <si>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</si>
  <si>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</si>
  <si>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</si>
  <si>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</si>
  <si>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</si>
  <si>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</si>
  <si>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</si>
  <si>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</si>
  <si>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</si>
  <si>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</si>
  <si>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</si>
  <si>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</si>
  <si>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</si>
  <si>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</si>
  <si>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</si>
  <si>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</si>
  <si>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</si>
  <si>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</si>
  <si>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</si>
  <si>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</si>
  <si>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</si>
  <si>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</si>
  <si>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</si>
  <si>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</si>
  <si>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</si>
  <si>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</si>
  <si>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</si>
  <si>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</si>
  <si>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</si>
  <si>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</si>
  <si>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</si>
  <si>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</si>
  <si>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</si>
  <si>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</si>
  <si>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</si>
  <si>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</si>
  <si>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</si>
  <si>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</si>
  <si>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</si>
  <si>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</si>
  <si>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</si>
  <si>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</si>
  <si>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</si>
  <si>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</si>
  <si>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</si>
  <si>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</si>
  <si>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</si>
  <si>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</si>
  <si>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</si>
  <si>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</si>
  <si>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</si>
  <si>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</si>
  <si>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</si>
  <si>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</si>
  <si>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</si>
  <si>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</si>
  <si>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</si>
  <si>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</si>
  <si>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</si>
  <si>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</si>
  <si>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</si>
  <si>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</si>
  <si>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</si>
  <si>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</si>
  <si>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</si>
  <si>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</si>
  <si>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</si>
  <si>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</si>
  <si>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</si>
  <si>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</si>
  <si>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</si>
  <si>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</si>
  <si>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</si>
  <si>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</si>
  <si>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</si>
  <si>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</si>
  <si>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</si>
  <si>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</si>
  <si>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</si>
  <si>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</si>
  <si>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</si>
  <si>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</si>
  <si>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</si>
  <si>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</si>
  <si>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</si>
  <si>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</si>
  <si>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</si>
  <si>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</si>
  <si>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</si>
  <si>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</si>
  <si>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</si>
  <si>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</si>
  <si>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</si>
  <si>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</si>
  <si>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</si>
  <si>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</si>
  <si>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</si>
  <si>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</si>
  <si>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</si>
  <si>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</si>
  <si>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</si>
  <si>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DEF-012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</si>
  <si>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</si>
  <si>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</si>
  <si>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</si>
  <si>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</si>
  <si>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</si>
  <si>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</si>
  <si>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</si>
  <si>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</si>
  <si>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</si>
  <si>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</si>
  <si>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</si>
  <si>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</si>
  <si>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</si>
  <si>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</si>
  <si>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</si>
  <si>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</si>
  <si>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</si>
  <si>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</si>
  <si>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</si>
  <si>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</si>
  <si>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</si>
  <si>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</si>
  <si>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</si>
  <si>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</si>
  <si>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</si>
  <si>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</si>
  <si>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</si>
  <si>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</si>
  <si>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</si>
  <si>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</si>
  <si>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</si>
  <si>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</si>
  <si>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</si>
  <si>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</si>
  <si>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</si>
  <si>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</si>
  <si>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</si>
  <si>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</si>
  <si>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</si>
  <si>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</si>
  <si>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</si>
  <si>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</si>
  <si>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</si>
  <si>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</si>
  <si>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</si>
  <si>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</si>
  <si>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</si>
  <si>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</si>
  <si>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</si>
  <si>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</si>
  <si>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</si>
  <si>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</si>
  <si>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</si>
  <si>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</si>
  <si>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</si>
  <si>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</si>
  <si>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</si>
  <si>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</si>
  <si>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</si>
  <si>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</si>
  <si>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</si>
  <si>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</si>
  <si>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</si>
  <si>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</si>
  <si>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</si>
  <si>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</si>
  <si>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</si>
  <si>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</si>
  <si>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</si>
  <si>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</si>
  <si>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</si>
  <si>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</si>
  <si>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</si>
  <si>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</si>
  <si>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</si>
  <si>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</si>
  <si>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</si>
  <si>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</si>
  <si>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</si>
  <si>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</si>
  <si>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</si>
  <si>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</si>
  <si>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</si>
  <si>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</si>
  <si>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</si>
  <si>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</si>
  <si>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</si>
  <si>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</si>
  <si>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</si>
  <si>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</si>
  <si>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</si>
  <si>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</si>
  <si>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</si>
  <si>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</si>
  <si>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</si>
  <si>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</si>
  <si>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</si>
  <si>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</si>
  <si>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</si>
  <si>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DEF-001, DEF-002, DEF-003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</si>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</sst>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54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30">
          <cell r="B30" t="str">
            <v>UT13-TC001</v>
          </cell>
          <cell r="H30" t="str">
            <v>No run</v>
          </cell>
        </row>
        <row r="31">
          <cell r="B31" t="str">
            <v>UT13-TC002</v>
          </cell>
          <cell r="H31" t="str">
            <v>No run</v>
          </cell>
        </row>
        <row r="32">
          <cell r="B32" t="str">
            <v>UT13-TC003</v>
          </cell>
          <cell r="H32" t="str">
            <v>No run</v>
          </cell>
        </row>
        <row r="33">
          <cell r="B33" t="str">
            <v>UT13-TC004</v>
          </cell>
          <cell r="H33" t="str">
            <v>No run</v>
          </cell>
        </row>
        <row r="34">
          <cell r="B34" t="str">
            <v>UT13-TC005</v>
          </cell>
          <cell r="H34" t="str">
            <v>No run</v>
          </cell>
        </row>
        <row r="35">
          <cell r="B35" t="str">
            <v>UT13-TC006</v>
          </cell>
          <cell r="H35" t="str">
            <v>No run</v>
          </cell>
        </row>
        <row r="36">
          <cell r="B36" t="str">
            <v>UT13-TC007</v>
          </cell>
          <cell r="H36" t="str">
            <v>No run</v>
          </cell>
        </row>
        <row r="37">
          <cell r="B37" t="str">
            <v>UT13-TC008</v>
          </cell>
          <cell r="H37" t="str">
            <v>No run</v>
          </cell>
        </row>
      </sheetData>
      <sheetData sheetId="16">
        <row r="23">
          <cell r="A23" t="str">
            <v>UT14-TC001</v>
          </cell>
          <cell r="G23" t="str">
            <v>No run</v>
          </cell>
        </row>
        <row r="24">
          <cell r="A24" t="str">
            <v>UT14-TC002</v>
          </cell>
          <cell r="G24" t="str">
            <v>No run</v>
          </cell>
        </row>
        <row r="25">
          <cell r="A25" t="str">
            <v>UT14-TC003</v>
          </cell>
          <cell r="G25" t="str">
            <v>No run</v>
          </cell>
        </row>
        <row r="26">
          <cell r="A26" t="str">
            <v>UT14-TC004</v>
          </cell>
          <cell r="G26" t="str">
            <v>No run</v>
          </cell>
        </row>
        <row r="27">
          <cell r="A27" t="str">
            <v>UT14-TC005</v>
          </cell>
          <cell r="G27" t="str">
            <v>No run</v>
          </cell>
        </row>
        <row r="28">
          <cell r="A28" t="str">
            <v>UT14-TC006</v>
          </cell>
          <cell r="G28" t="str">
            <v>No run</v>
          </cell>
        </row>
        <row r="29">
          <cell r="A29" t="str">
            <v>UT14-TC007</v>
          </cell>
          <cell r="G29" t="str">
            <v>No run</v>
          </cell>
        </row>
        <row r="30">
          <cell r="A30" t="str">
            <v>UT14-TC008</v>
          </cell>
          <cell r="G30" t="str">
            <v>No run</v>
          </cell>
        </row>
        <row r="31">
          <cell r="A31" t="str">
            <v>UT14-TC009</v>
          </cell>
          <cell r="G31" t="str">
            <v>No run</v>
          </cell>
        </row>
        <row r="32">
          <cell r="A32" t="str">
            <v>UT14-TC010</v>
          </cell>
          <cell r="G32" t="str">
            <v>No run</v>
          </cell>
        </row>
        <row r="33">
          <cell r="A33" t="str">
            <v>UT14-TC011</v>
          </cell>
          <cell r="G33" t="str">
            <v>No run</v>
          </cell>
        </row>
      </sheetData>
      <sheetData sheetId="17">
        <row r="12">
          <cell r="A12" t="str">
            <v>UT15-TC001</v>
          </cell>
          <cell r="F12" t="str">
            <v>No run</v>
          </cell>
        </row>
        <row r="13">
          <cell r="A13" t="str">
            <v>UT15-TC002</v>
          </cell>
          <cell r="F13" t="str">
            <v>No run</v>
          </cell>
        </row>
        <row r="14">
          <cell r="A14" t="str">
            <v>UT15-TC003</v>
          </cell>
          <cell r="F14" t="str">
            <v>No run</v>
          </cell>
        </row>
        <row r="15">
          <cell r="A15" t="str">
            <v>UT15-TC004</v>
          </cell>
          <cell r="F15" t="str">
            <v>No run</v>
          </cell>
        </row>
        <row r="16">
          <cell r="A16" t="str">
            <v>UT15-TC005</v>
          </cell>
          <cell r="F16" t="str">
            <v>No run</v>
          </cell>
        </row>
        <row r="17">
          <cell r="A17" t="str">
            <v>UT15-TC006</v>
          </cell>
          <cell r="F17" t="str">
            <v>No run</v>
          </cell>
        </row>
        <row r="18">
          <cell r="A18" t="str">
            <v>UT15-TC007</v>
          </cell>
          <cell r="F18" t="str">
            <v>No run</v>
          </cell>
        </row>
        <row r="19">
          <cell r="A19" t="str">
            <v>UT15-TC008</v>
          </cell>
          <cell r="F19" t="str">
            <v>No run</v>
          </cell>
        </row>
        <row r="20">
          <cell r="A20" t="str">
            <v>UT15-TC009</v>
          </cell>
          <cell r="F20" t="str">
            <v>No run</v>
          </cell>
        </row>
        <row r="21">
          <cell r="A21" t="str">
            <v>UT15-TC010</v>
          </cell>
          <cell r="F21" t="str">
            <v>No run</v>
          </cell>
        </row>
        <row r="22">
          <cell r="A22" t="str">
            <v>UT15-TC011</v>
          </cell>
          <cell r="F22" t="str">
            <v>No run</v>
          </cell>
        </row>
        <row r="23">
          <cell r="A23" t="str">
            <v>UT15-TC012</v>
          </cell>
          <cell r="F23" t="str">
            <v>No run</v>
          </cell>
        </row>
        <row r="24">
          <cell r="A24" t="str">
            <v>UT15-TC013</v>
          </cell>
          <cell r="F24" t="str">
            <v>No run</v>
          </cell>
        </row>
        <row r="25">
          <cell r="A25" t="str">
            <v>UT15-TC014</v>
          </cell>
          <cell r="F25" t="str">
            <v>No run</v>
          </cell>
        </row>
      </sheetData>
      <sheetData sheetId="18">
        <row r="20">
          <cell r="A20" t="str">
            <v>UT16-TC001</v>
          </cell>
          <cell r="F20" t="str">
            <v>No run</v>
          </cell>
        </row>
        <row r="21">
          <cell r="A21" t="str">
            <v>UT16-TC002</v>
          </cell>
          <cell r="F21" t="str">
            <v>No run</v>
          </cell>
        </row>
        <row r="22">
          <cell r="A22" t="str">
            <v>UT16-TC003</v>
          </cell>
          <cell r="F22" t="str">
            <v>No run</v>
          </cell>
        </row>
        <row r="23">
          <cell r="A23" t="str">
            <v>UT16-TC004</v>
          </cell>
          <cell r="F23" t="str">
            <v>No run</v>
          </cell>
        </row>
        <row r="24">
          <cell r="A24" t="str">
            <v>UT16-TC005</v>
          </cell>
          <cell r="F24" t="str">
            <v>No run</v>
          </cell>
        </row>
        <row r="25">
          <cell r="A25" t="str">
            <v>UT16-TC006</v>
          </cell>
          <cell r="F25" t="str">
            <v>No run</v>
          </cell>
        </row>
        <row r="26">
          <cell r="A26" t="str">
            <v>UT16-TC007</v>
          </cell>
          <cell r="F26" t="str">
            <v>No run</v>
          </cell>
        </row>
        <row r="27">
          <cell r="A27" t="str">
            <v>UT16-TC008</v>
          </cell>
          <cell r="F27" t="str">
            <v>No run</v>
          </cell>
        </row>
        <row r="28">
          <cell r="A28" t="str">
            <v>UT16-TC009</v>
          </cell>
          <cell r="F28" t="str">
            <v>No run</v>
          </cell>
        </row>
      </sheetData>
      <sheetData sheetId="19">
        <row r="20">
          <cell r="A20" t="str">
            <v>UT17-TC001</v>
          </cell>
          <cell r="F20" t="str">
            <v>No run</v>
          </cell>
        </row>
        <row r="21">
          <cell r="A21" t="str">
            <v>UT17-TC002</v>
          </cell>
          <cell r="F21" t="str">
            <v>No run</v>
          </cell>
        </row>
        <row r="22">
          <cell r="A22" t="str">
            <v>UT17-TC003</v>
          </cell>
          <cell r="F22" t="str">
            <v>No run</v>
          </cell>
        </row>
        <row r="23">
          <cell r="A23" t="str">
            <v>UT17-TC004</v>
          </cell>
          <cell r="F23" t="str">
            <v>No run</v>
          </cell>
        </row>
        <row r="24">
          <cell r="A24" t="str">
            <v>UT17-TC005</v>
          </cell>
          <cell r="F24" t="str">
            <v>No run</v>
          </cell>
        </row>
        <row r="25">
          <cell r="A25" t="str">
            <v>UT17-TC006</v>
          </cell>
          <cell r="F25" t="str">
            <v>No run</v>
          </cell>
        </row>
        <row r="26">
          <cell r="A26" t="str">
            <v>UT17-TC007</v>
          </cell>
          <cell r="F26" t="str">
            <v>No run</v>
          </cell>
        </row>
        <row r="27">
          <cell r="A27" t="str">
            <v>UT17-TC008</v>
          </cell>
          <cell r="F27" t="str">
            <v>No run</v>
          </cell>
        </row>
      </sheetData>
      <sheetData sheetId="20">
        <row r="21">
          <cell r="A21" t="str">
            <v>UT18-TC001</v>
          </cell>
          <cell r="F21" t="str">
            <v>No run</v>
          </cell>
        </row>
        <row r="22">
          <cell r="A22" t="str">
            <v>UT18-TC002</v>
          </cell>
          <cell r="F22" t="str">
            <v>No run</v>
          </cell>
        </row>
        <row r="23">
          <cell r="A23" t="str">
            <v>UT18-TC003</v>
          </cell>
          <cell r="F23" t="str">
            <v>No run</v>
          </cell>
        </row>
        <row r="24">
          <cell r="A24" t="str">
            <v>UT18-TC004</v>
          </cell>
          <cell r="F24" t="str">
            <v>No run</v>
          </cell>
        </row>
        <row r="25">
          <cell r="A25" t="str">
            <v>UT18-TC005</v>
          </cell>
          <cell r="F25" t="str">
            <v>No run</v>
          </cell>
        </row>
        <row r="26">
          <cell r="A26" t="str">
            <v>UT18-TC006</v>
          </cell>
          <cell r="F26" t="str">
            <v>No run</v>
          </cell>
        </row>
        <row r="27">
          <cell r="A27" t="str">
            <v>UT18-TC007</v>
          </cell>
          <cell r="F27" t="str">
            <v>No run</v>
          </cell>
        </row>
        <row r="28">
          <cell r="A28" t="str">
            <v>UT18-TC008</v>
          </cell>
          <cell r="F28" t="str">
            <v>No run</v>
          </cell>
        </row>
        <row r="29">
          <cell r="A29" t="str">
            <v>UT18-TC009</v>
          </cell>
          <cell r="F29" t="str">
            <v>No run</v>
          </cell>
        </row>
        <row r="30">
          <cell r="A30" t="str">
            <v>UT18-TC010</v>
          </cell>
          <cell r="F30" t="str">
            <v>No run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23"/>
  <sheetViews>
    <sheetView workbookViewId="0">
      <selection activeCell="L18" sqref="L18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5" t="s">
        <v>0</v>
      </c>
      <c r="B1" s="25"/>
      <c r="C1" s="25"/>
      <c r="D1" s="25"/>
      <c r="E1" s="25"/>
      <c r="F1" s="25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6" t="s">
        <v>10</v>
      </c>
      <c r="B3" s="26"/>
      <c r="C3" s="26"/>
      <c r="D3" s="26"/>
      <c r="E3" s="26"/>
      <c r="F3" s="26"/>
      <c r="G3" s="26"/>
      <c r="H3" s="26"/>
      <c r="I3" s="26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42">
      <c r="A9" s="3">
        <v>6</v>
      </c>
      <c r="B9" s="4" t="s">
        <v>677</v>
      </c>
      <c r="C9" s="4" t="s">
        <v>451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9" ht="42">
      <c r="A10" s="3">
        <v>7</v>
      </c>
      <c r="B10" s="4" t="s">
        <v>678</v>
      </c>
      <c r="C10" s="4" t="s">
        <v>221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9" ht="63">
      <c r="A11" s="3">
        <v>8</v>
      </c>
      <c r="B11" s="4" t="s">
        <v>679</v>
      </c>
      <c r="C11" s="4" t="s">
        <v>680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673</v>
      </c>
    </row>
    <row r="12" spans="1:9" ht="22.5" customHeight="1">
      <c r="A12" s="3">
        <v>9</v>
      </c>
      <c r="B12" s="4" t="s">
        <v>710</v>
      </c>
      <c r="C12" s="4" t="s">
        <v>711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9" ht="64.5" customHeight="1">
      <c r="A13" s="3">
        <v>10</v>
      </c>
      <c r="B13" s="4" t="s">
        <v>742</v>
      </c>
      <c r="C13" s="4" t="s">
        <v>294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743</v>
      </c>
    </row>
    <row r="14" spans="1:9" ht="64.5" customHeight="1">
      <c r="A14" s="3">
        <v>11</v>
      </c>
      <c r="B14" s="4" t="s">
        <v>744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745</v>
      </c>
    </row>
    <row r="15" spans="1:9" ht="64.5" customHeight="1">
      <c r="A15" s="3">
        <v>12</v>
      </c>
      <c r="B15" s="4" t="s">
        <v>746</v>
      </c>
      <c r="C15" s="4" t="s">
        <v>747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9" ht="21">
      <c r="A16" s="26" t="s">
        <v>531</v>
      </c>
      <c r="B16" s="26"/>
      <c r="C16" s="26"/>
      <c r="D16" s="26"/>
      <c r="E16" s="26"/>
      <c r="F16" s="26"/>
      <c r="G16" s="26"/>
      <c r="H16" s="26"/>
      <c r="I16" s="26"/>
    </row>
    <row r="17" spans="1:9" ht="42">
      <c r="A17" s="3">
        <v>13</v>
      </c>
      <c r="B17" s="4" t="s">
        <v>841</v>
      </c>
      <c r="C17" s="4" t="s">
        <v>221</v>
      </c>
      <c r="D17" s="3">
        <f>COUNTA([1]UT13_ProcessPayment_DT!$B$30:$B$37)</f>
        <v>8</v>
      </c>
      <c r="E17" s="3">
        <f>COUNTIF([1]UT13_ProcessPayment_DT!$H$30:$H$37,"Pass")</f>
        <v>0</v>
      </c>
      <c r="F17" s="3">
        <f>COUNTIF([1]UT13_ProcessPayment_DT!$H$30:$H$37,"Fail")</f>
        <v>0</v>
      </c>
      <c r="G17" s="3">
        <f>COUNTIF([1]UT13_ProcessPayment_DT!$H$30:$H$37,"No run")</f>
        <v>8</v>
      </c>
      <c r="H17" s="3">
        <f>COUNTIF([1]UT13_ProcessPayment_DT!$H$30:$H$37,"Block")</f>
        <v>0</v>
      </c>
      <c r="I17" s="4"/>
    </row>
    <row r="18" spans="1:9" ht="42">
      <c r="A18" s="3">
        <v>14</v>
      </c>
      <c r="B18" s="4" t="s">
        <v>842</v>
      </c>
      <c r="C18" s="4" t="s">
        <v>12</v>
      </c>
      <c r="D18" s="3">
        <f>COUNTA([1]UT14_Payment_Promo_Status_EC!$A$23:$A$33)</f>
        <v>11</v>
      </c>
      <c r="E18" s="3">
        <f>COUNTIF([1]UT14_Payment_Promo_Status_EC!$G$23:$G$33,"Pass")</f>
        <v>0</v>
      </c>
      <c r="F18" s="3">
        <f>COUNTIF([1]UT14_Payment_Promo_Status_EC!$G$23:$G$33,"Fail")</f>
        <v>0</v>
      </c>
      <c r="G18" s="3">
        <f>COUNTIF([1]UT14_Payment_Promo_Status_EC!$G$23:$G$33,"No run")</f>
        <v>11</v>
      </c>
      <c r="H18" s="3">
        <f>COUNTIF([1]UT14_Payment_Promo_Status_EC!$G$23:$G$33,"Block")</f>
        <v>0</v>
      </c>
      <c r="I18" s="4" t="s">
        <v>843</v>
      </c>
    </row>
    <row r="19" spans="1:9" ht="21">
      <c r="A19" s="3">
        <v>15</v>
      </c>
      <c r="B19" s="4" t="s">
        <v>844</v>
      </c>
      <c r="C19" s="4" t="s">
        <v>294</v>
      </c>
      <c r="D19" s="3">
        <f>COUNTA([1]UT15_FixedDiscount_BVA!$A$12:$A$25)</f>
        <v>14</v>
      </c>
      <c r="E19" s="3">
        <f>COUNTIF([1]UT15_FixedDiscount_BVA!$F$12:$F$25,"Pass")</f>
        <v>0</v>
      </c>
      <c r="F19" s="3">
        <f>COUNTIF([1]UT15_FixedDiscount_BVA!$F$12:$F$25,"Fail")</f>
        <v>0</v>
      </c>
      <c r="G19" s="3">
        <f>COUNTIF([1]UT15_FixedDiscount_BVA!$F$12:$F$25,"No run")</f>
        <v>14</v>
      </c>
      <c r="H19" s="3">
        <f>COUNTIF([1]UT15_FixedDiscount_BVA!$F$12:$F$25,"Block")</f>
        <v>0</v>
      </c>
      <c r="I19" s="4"/>
    </row>
    <row r="20" spans="1:9" ht="21">
      <c r="A20" s="3">
        <v>16</v>
      </c>
      <c r="B20" s="4" t="s">
        <v>845</v>
      </c>
      <c r="C20" s="4" t="s">
        <v>12</v>
      </c>
      <c r="D20" s="3">
        <f>COUNTA([1]UT16_PercentDiscount_EC!$A$20:$A$28)</f>
        <v>9</v>
      </c>
      <c r="E20" s="3">
        <f>COUNTIF([1]UT16_PercentDiscount_EC!$F$20:$F$28,"Pass")</f>
        <v>0</v>
      </c>
      <c r="F20" s="3">
        <f>COUNTIF([1]UT16_PercentDiscount_EC!$F$20:$F$28,"Fail")</f>
        <v>0</v>
      </c>
      <c r="G20" s="3">
        <f>COUNTIF([1]UT16_PercentDiscount_EC!$F$20:$F$28,"No run")</f>
        <v>9</v>
      </c>
      <c r="H20" s="3">
        <f>COUNTIF([1]UT16_PercentDiscount_EC!$F$20:$F$28,"Block")</f>
        <v>0</v>
      </c>
      <c r="I20" s="4"/>
    </row>
    <row r="21" spans="1:9" ht="21">
      <c r="A21" s="3">
        <v>17</v>
      </c>
      <c r="B21" s="4" t="s">
        <v>846</v>
      </c>
      <c r="C21" s="4" t="s">
        <v>12</v>
      </c>
      <c r="D21" s="3">
        <f>COUNTA([1]UT17_DiscountFactory_EC!$A$20:$A$27)</f>
        <v>8</v>
      </c>
      <c r="E21" s="3">
        <f>COUNTIF([1]UT17_DiscountFactory_EC!$F$20:$F$27,"Pass")</f>
        <v>0</v>
      </c>
      <c r="F21" s="3">
        <f>COUNTIF([1]UT17_DiscountFactory_EC!$F$20:$F$27,"Fail")</f>
        <v>0</v>
      </c>
      <c r="G21" s="3">
        <f>COUNTIF([1]UT17_DiscountFactory_EC!$F$20:$F$27,"No run")</f>
        <v>8</v>
      </c>
      <c r="H21" s="3">
        <f>COUNTIF([1]UT17_DiscountFactory_EC!$F$20:$F$27,"Block")</f>
        <v>0</v>
      </c>
      <c r="I21" s="4"/>
    </row>
    <row r="22" spans="1:9" ht="42">
      <c r="A22" s="3">
        <v>18</v>
      </c>
      <c r="B22" s="4" t="s">
        <v>847</v>
      </c>
      <c r="C22" s="4" t="s">
        <v>848</v>
      </c>
      <c r="D22" s="3">
        <f>COUNTA([1]UT18_PaymentStrategy_EC!$A$21:$A$30)</f>
        <v>10</v>
      </c>
      <c r="E22" s="3">
        <f>COUNTIF([1]UT18_PaymentStrategy_EC!$F$21:$F$30,"Pass")</f>
        <v>0</v>
      </c>
      <c r="F22" s="3">
        <f>COUNTIF([1]UT18_PaymentStrategy_EC!$F$21:$F$30,"Fail")</f>
        <v>0</v>
      </c>
      <c r="G22" s="3">
        <f>COUNTIF([1]UT18_PaymentStrategy_EC!$F$21:$F$30,"No run")</f>
        <v>10</v>
      </c>
      <c r="H22" s="3">
        <f>COUNTIF([1]UT18_PaymentStrategy_EC!$F$21:$F$30,"Block")</f>
        <v>0</v>
      </c>
      <c r="I22" s="4"/>
    </row>
    <row r="23" spans="1:9" ht="21">
      <c r="A23" s="24" t="s">
        <v>13</v>
      </c>
      <c r="B23" s="24"/>
      <c r="C23" s="24"/>
      <c r="D23" s="5" cm="1">
        <f t="array" ref="D23">SUMPRODUCT(ISNUMBER(D4:D15)*D4:D15)</f>
        <v>149</v>
      </c>
      <c r="E23" s="6" cm="1">
        <f t="array" ref="E23">SUMPRODUCT(ISNUMBER(E4:E15)*E4:E15)</f>
        <v>140</v>
      </c>
      <c r="F23" s="7" cm="1">
        <f t="array" ref="F23">SUMPRODUCT(ISNUMBER(F4:F15)*F4:F15)</f>
        <v>9</v>
      </c>
      <c r="G23" s="5" cm="1">
        <f t="array" ref="G23">SUMPRODUCT(ISNUMBER(G4:G15)*G4:G15)</f>
        <v>0</v>
      </c>
      <c r="H23" s="5" cm="1">
        <f t="array" ref="H23">SUMPRODUCT(ISNUMBER(H4:H15)*H4:H15)</f>
        <v>0</v>
      </c>
      <c r="I23" s="4"/>
    </row>
  </sheetData>
  <mergeCells count="4">
    <mergeCell ref="A23:C23"/>
    <mergeCell ref="A1:F1"/>
    <mergeCell ref="A3:I3"/>
    <mergeCell ref="A16:I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7"/>
  <sheetViews>
    <sheetView workbookViewId="0">
      <selection activeCell="K7" sqref="K7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  <row r="6" spans="1:11" ht="64.5" customHeight="1">
      <c r="A6" s="17">
        <v>5</v>
      </c>
      <c r="B6" s="17" t="s">
        <v>675</v>
      </c>
      <c r="C6" s="13" t="s">
        <v>674</v>
      </c>
      <c r="D6" s="17" t="s">
        <v>67</v>
      </c>
      <c r="E6" s="13"/>
      <c r="F6" s="14" t="s">
        <v>156</v>
      </c>
      <c r="G6" s="17" t="s">
        <v>216</v>
      </c>
      <c r="H6" s="17" t="s">
        <v>441</v>
      </c>
      <c r="I6" s="17" t="s">
        <v>441</v>
      </c>
      <c r="J6" s="13"/>
      <c r="K6" s="13" t="s">
        <v>676</v>
      </c>
    </row>
    <row r="7" spans="1:11" ht="85.5" customHeight="1">
      <c r="A7" s="17">
        <v>6</v>
      </c>
      <c r="B7" s="17" t="s">
        <v>745</v>
      </c>
      <c r="C7" s="13" t="s">
        <v>839</v>
      </c>
      <c r="D7" s="17" t="s">
        <v>67</v>
      </c>
      <c r="E7" s="13"/>
      <c r="F7" s="14" t="s">
        <v>156</v>
      </c>
      <c r="G7" s="17" t="s">
        <v>216</v>
      </c>
      <c r="H7" s="17" t="s">
        <v>444</v>
      </c>
      <c r="I7" s="17" t="s">
        <v>444</v>
      </c>
      <c r="J7" s="13"/>
      <c r="K7" s="13" t="s">
        <v>840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15"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4" thickBot="1">
      <c r="A2" s="9" t="s">
        <v>15</v>
      </c>
      <c r="F2" s="28" t="s">
        <v>16</v>
      </c>
      <c r="G2" s="28"/>
    </row>
    <row r="3" spans="1:10" ht="24" thickBot="1">
      <c r="A3" s="10" t="s">
        <v>17</v>
      </c>
      <c r="B3" s="29" t="s">
        <v>18</v>
      </c>
      <c r="C3" s="29"/>
      <c r="D3" s="29"/>
      <c r="F3" s="10" t="s">
        <v>17</v>
      </c>
      <c r="G3" s="29" t="s">
        <v>18</v>
      </c>
      <c r="H3" s="29"/>
      <c r="I3" s="29"/>
      <c r="J3" s="29"/>
    </row>
    <row r="4" spans="1:10" ht="24" thickBot="1">
      <c r="A4" s="11" t="s">
        <v>19</v>
      </c>
      <c r="B4" s="30" t="s">
        <v>20</v>
      </c>
      <c r="C4" s="30"/>
      <c r="D4" s="30"/>
      <c r="F4" s="11" t="s">
        <v>21</v>
      </c>
      <c r="G4" s="30" t="s">
        <v>22</v>
      </c>
      <c r="H4" s="30"/>
      <c r="I4" s="30"/>
      <c r="J4" s="30"/>
    </row>
    <row r="5" spans="1:10" ht="24" thickBot="1">
      <c r="A5" s="11" t="s">
        <v>23</v>
      </c>
      <c r="B5" s="30" t="s">
        <v>24</v>
      </c>
      <c r="C5" s="30"/>
      <c r="D5" s="30"/>
      <c r="F5" s="11" t="s">
        <v>25</v>
      </c>
      <c r="G5" s="30" t="s">
        <v>26</v>
      </c>
      <c r="H5" s="30"/>
      <c r="I5" s="30"/>
      <c r="J5" s="30"/>
    </row>
    <row r="6" spans="1:10" ht="24" thickBot="1">
      <c r="A6" s="11" t="s">
        <v>27</v>
      </c>
      <c r="B6" s="30" t="s">
        <v>28</v>
      </c>
      <c r="C6" s="30"/>
      <c r="D6" s="30"/>
      <c r="F6" s="11" t="s">
        <v>29</v>
      </c>
      <c r="G6" s="30" t="s">
        <v>30</v>
      </c>
      <c r="H6" s="30"/>
      <c r="I6" s="30"/>
      <c r="J6" s="30"/>
    </row>
    <row r="7" spans="1:10" ht="24" thickBot="1">
      <c r="A7" s="11" t="s">
        <v>31</v>
      </c>
      <c r="B7" s="30" t="s">
        <v>32</v>
      </c>
      <c r="C7" s="30"/>
      <c r="D7" s="30"/>
      <c r="F7" s="11" t="s">
        <v>33</v>
      </c>
      <c r="G7" s="30" t="s">
        <v>34</v>
      </c>
      <c r="H7" s="30"/>
      <c r="I7" s="30"/>
      <c r="J7" s="30"/>
    </row>
    <row r="8" spans="1:10" ht="24" thickBot="1">
      <c r="A8" s="11" t="s">
        <v>35</v>
      </c>
      <c r="B8" s="30" t="s">
        <v>36</v>
      </c>
      <c r="C8" s="30"/>
      <c r="D8" s="30"/>
      <c r="F8" s="11" t="s">
        <v>37</v>
      </c>
      <c r="G8" s="30" t="s">
        <v>38</v>
      </c>
      <c r="H8" s="30"/>
      <c r="I8" s="30"/>
      <c r="J8" s="30"/>
    </row>
    <row r="9" spans="1:10" ht="24" thickBot="1">
      <c r="A9" s="11" t="s">
        <v>39</v>
      </c>
      <c r="B9" s="30" t="s">
        <v>40</v>
      </c>
      <c r="C9" s="30"/>
      <c r="D9" s="30"/>
      <c r="F9" s="11" t="s">
        <v>41</v>
      </c>
      <c r="G9" s="30" t="s">
        <v>42</v>
      </c>
      <c r="H9" s="30"/>
      <c r="I9" s="30"/>
      <c r="J9" s="30"/>
    </row>
    <row r="10" spans="1:10" ht="24" thickBot="1">
      <c r="F10" s="11" t="s">
        <v>43</v>
      </c>
      <c r="G10" s="30" t="s">
        <v>44</v>
      </c>
      <c r="H10" s="30"/>
      <c r="I10" s="30"/>
      <c r="J10" s="30"/>
    </row>
    <row r="11" spans="1:10" ht="24" thickBot="1">
      <c r="F11" s="11" t="s">
        <v>45</v>
      </c>
      <c r="G11" s="30" t="s">
        <v>46</v>
      </c>
      <c r="H11" s="30"/>
      <c r="I11" s="30"/>
      <c r="J11" s="30"/>
    </row>
    <row r="12" spans="1:10" ht="24" thickBot="1">
      <c r="F12" s="11" t="s">
        <v>47</v>
      </c>
      <c r="G12" s="30" t="s">
        <v>48</v>
      </c>
      <c r="H12" s="30"/>
      <c r="I12" s="30"/>
      <c r="J12" s="30"/>
    </row>
    <row r="13" spans="1:10" ht="24" thickBot="1">
      <c r="F13" s="11" t="s">
        <v>49</v>
      </c>
      <c r="G13" s="30" t="s">
        <v>50</v>
      </c>
      <c r="H13" s="30"/>
      <c r="I13" s="30"/>
      <c r="J13" s="30"/>
    </row>
    <row r="14" spans="1:10" ht="24" thickBot="1">
      <c r="F14" s="11" t="s">
        <v>51</v>
      </c>
      <c r="G14" s="30" t="s">
        <v>52</v>
      </c>
      <c r="H14" s="30"/>
      <c r="I14" s="30"/>
      <c r="J14" s="30"/>
    </row>
    <row r="15" spans="1:10" ht="24" thickBot="1">
      <c r="F15" s="11" t="s">
        <v>53</v>
      </c>
      <c r="G15" s="30" t="s">
        <v>54</v>
      </c>
      <c r="H15" s="30"/>
      <c r="I15" s="30"/>
      <c r="J15" s="30"/>
    </row>
    <row r="16" spans="1:10" ht="24" thickBot="1">
      <c r="F16" s="11" t="s">
        <v>55</v>
      </c>
      <c r="G16" s="30" t="s">
        <v>56</v>
      </c>
      <c r="H16" s="30"/>
      <c r="I16" s="30"/>
      <c r="J16" s="30"/>
    </row>
    <row r="18" spans="1:10">
      <c r="A18" s="31" t="s">
        <v>57</v>
      </c>
      <c r="B18" s="31"/>
      <c r="C18" s="31"/>
      <c r="D18" s="31"/>
      <c r="E18" s="31"/>
      <c r="F18" s="31"/>
      <c r="G18" s="31"/>
      <c r="H18" s="31"/>
      <c r="I18" s="31"/>
      <c r="J18" s="31"/>
    </row>
    <row r="20" spans="1:10">
      <c r="A20" s="12" t="s">
        <v>58</v>
      </c>
      <c r="B20" s="33" t="s">
        <v>59</v>
      </c>
      <c r="C20" s="33"/>
      <c r="D20" s="33"/>
      <c r="E20" s="33"/>
      <c r="F20" s="33"/>
      <c r="G20" s="33"/>
      <c r="H20" s="33"/>
      <c r="I20" s="12" t="s">
        <v>60</v>
      </c>
      <c r="J20" s="14" t="s">
        <v>154</v>
      </c>
    </row>
    <row r="21" spans="1:10">
      <c r="A21" s="12" t="s">
        <v>61</v>
      </c>
      <c r="B21" s="33" t="s">
        <v>62</v>
      </c>
      <c r="C21" s="33"/>
      <c r="D21" s="33"/>
      <c r="E21" s="33"/>
      <c r="F21" s="33"/>
      <c r="G21" s="33"/>
      <c r="H21" s="33"/>
      <c r="I21" s="12" t="s">
        <v>63</v>
      </c>
      <c r="J21" s="14" t="s">
        <v>156</v>
      </c>
    </row>
    <row r="22" spans="1:10" ht="46.5">
      <c r="A22" s="12" t="s">
        <v>64</v>
      </c>
      <c r="B22" s="33" t="s">
        <v>65</v>
      </c>
      <c r="C22" s="33"/>
      <c r="D22" s="33"/>
      <c r="E22" s="33"/>
      <c r="F22" s="33"/>
      <c r="G22" s="33"/>
      <c r="H22" s="33"/>
      <c r="I22" s="12" t="s">
        <v>66</v>
      </c>
      <c r="J22" s="13" t="s">
        <v>67</v>
      </c>
    </row>
    <row r="23" spans="1:10" ht="46.5">
      <c r="A23" s="12" t="s">
        <v>68</v>
      </c>
      <c r="B23" s="33" t="s">
        <v>69</v>
      </c>
      <c r="C23" s="33"/>
      <c r="D23" s="33"/>
      <c r="E23" s="33"/>
      <c r="F23" s="33"/>
      <c r="G23" s="33"/>
      <c r="H23" s="33"/>
      <c r="I23" s="33"/>
      <c r="J23" s="33"/>
    </row>
    <row r="24" spans="1:10" ht="46.5">
      <c r="A24" s="12" t="s">
        <v>70</v>
      </c>
      <c r="B24" s="33" t="s">
        <v>71</v>
      </c>
      <c r="C24" s="33"/>
      <c r="D24" s="33"/>
      <c r="E24" s="33"/>
      <c r="F24" s="33"/>
      <c r="G24" s="33"/>
      <c r="H24" s="33"/>
      <c r="I24" s="33"/>
      <c r="J24" s="33"/>
    </row>
    <row r="26" spans="1:10">
      <c r="A26" s="32" t="s">
        <v>72</v>
      </c>
      <c r="B26" s="32" t="s">
        <v>73</v>
      </c>
      <c r="C26" s="32"/>
      <c r="D26" s="32"/>
      <c r="E26" s="32"/>
      <c r="F26" s="32"/>
      <c r="G26" s="32"/>
      <c r="H26" s="32" t="s">
        <v>74</v>
      </c>
      <c r="I26" s="32" t="s">
        <v>75</v>
      </c>
      <c r="J26" s="32" t="s">
        <v>76</v>
      </c>
    </row>
    <row r="27" spans="1:10" ht="46.5">
      <c r="A27" s="32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32"/>
      <c r="I27" s="32"/>
      <c r="J27" s="32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1"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4" t="s">
        <v>152</v>
      </c>
      <c r="B17" s="34"/>
      <c r="C17" s="34"/>
      <c r="D17" s="34"/>
      <c r="E17" s="34"/>
      <c r="F17" s="34"/>
      <c r="G17" s="34"/>
      <c r="H17" s="34"/>
      <c r="I17" s="34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 ht="46.5">
      <c r="A21" s="12" t="s">
        <v>58</v>
      </c>
      <c r="B21" s="33" t="s">
        <v>153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5" t="s">
        <v>65</v>
      </c>
      <c r="C23" s="36"/>
      <c r="D23" s="36"/>
      <c r="E23" s="36"/>
      <c r="F23" s="37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157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158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81</v>
      </c>
      <c r="D28" s="15" t="s">
        <v>160</v>
      </c>
      <c r="E28" s="15" t="s">
        <v>161</v>
      </c>
      <c r="F28" s="32"/>
      <c r="G28" s="32"/>
      <c r="H28" s="32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4"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33" t="s">
        <v>227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33" t="s">
        <v>237</v>
      </c>
      <c r="C6" s="33"/>
      <c r="D6" s="33"/>
      <c r="E6" s="33"/>
      <c r="F6" s="33"/>
      <c r="G6" s="33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33" t="s">
        <v>243</v>
      </c>
      <c r="C7" s="33"/>
      <c r="D7" s="33"/>
      <c r="E7" s="33"/>
      <c r="F7" s="33"/>
      <c r="G7" s="33"/>
      <c r="J7" s="17" t="s">
        <v>244</v>
      </c>
      <c r="K7" s="17" t="s">
        <v>245</v>
      </c>
      <c r="L7" s="17" t="s">
        <v>246</v>
      </c>
    </row>
    <row r="9" spans="1:12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2">
      <c r="A10" s="32"/>
      <c r="B10" s="15" t="s">
        <v>82</v>
      </c>
      <c r="C10" s="15" t="s">
        <v>247</v>
      </c>
      <c r="D10" s="15" t="s">
        <v>248</v>
      </c>
      <c r="E10" s="32"/>
      <c r="F10" s="32"/>
      <c r="G10" s="32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31" t="s">
        <v>57</v>
      </c>
      <c r="B1" s="31"/>
      <c r="C1" s="31"/>
      <c r="D1" s="31"/>
      <c r="E1" s="31"/>
      <c r="F1" s="31"/>
      <c r="G1" s="31"/>
      <c r="H1" s="31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33" t="s">
        <v>305</v>
      </c>
      <c r="C3" s="33"/>
      <c r="D3" s="33"/>
      <c r="E3" s="33"/>
      <c r="F3" s="33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33" t="s">
        <v>309</v>
      </c>
      <c r="C4" s="33"/>
      <c r="D4" s="33"/>
      <c r="E4" s="33"/>
      <c r="F4" s="33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33" t="s">
        <v>65</v>
      </c>
      <c r="C5" s="33"/>
      <c r="D5" s="33"/>
      <c r="E5" s="33"/>
      <c r="F5" s="33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33" t="s">
        <v>313</v>
      </c>
      <c r="C6" s="33"/>
      <c r="D6" s="33"/>
      <c r="E6" s="33"/>
      <c r="F6" s="33"/>
      <c r="G6" s="33"/>
      <c r="H6" s="33"/>
    </row>
    <row r="7" spans="1:15" ht="46.5">
      <c r="A7" s="12" t="s">
        <v>70</v>
      </c>
      <c r="B7" s="33" t="s">
        <v>449</v>
      </c>
      <c r="C7" s="33"/>
      <c r="D7" s="33"/>
      <c r="E7" s="33"/>
      <c r="F7" s="33"/>
      <c r="G7" s="33"/>
      <c r="H7" s="33"/>
    </row>
    <row r="9" spans="1:15">
      <c r="A9" s="32" t="s">
        <v>72</v>
      </c>
      <c r="B9" s="32" t="s">
        <v>73</v>
      </c>
      <c r="C9" s="32"/>
      <c r="D9" s="32"/>
      <c r="E9" s="32"/>
      <c r="F9" s="32" t="s">
        <v>74</v>
      </c>
      <c r="G9" s="32" t="s">
        <v>75</v>
      </c>
      <c r="H9" s="32" t="s">
        <v>76</v>
      </c>
    </row>
    <row r="10" spans="1:15" ht="46.5">
      <c r="A10" s="32"/>
      <c r="B10" s="15" t="s">
        <v>314</v>
      </c>
      <c r="C10" s="15" t="s">
        <v>315</v>
      </c>
      <c r="D10" s="15" t="s">
        <v>316</v>
      </c>
      <c r="E10" s="15" t="s">
        <v>317</v>
      </c>
      <c r="F10" s="32"/>
      <c r="G10" s="32"/>
      <c r="H10" s="32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B7:H7"/>
    <mergeCell ref="A1:H1"/>
    <mergeCell ref="B3:F3"/>
    <mergeCell ref="B4:F4"/>
    <mergeCell ref="B5:F5"/>
    <mergeCell ref="B6:H6"/>
    <mergeCell ref="A9:A10"/>
    <mergeCell ref="B9:E9"/>
    <mergeCell ref="F9:F10"/>
    <mergeCell ref="G9:G10"/>
    <mergeCell ref="H9:H10"/>
  </mergeCells>
  <conditionalFormatting sqref="H11:H23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38" t="s">
        <v>363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>
      <c r="A3" s="38" t="s">
        <v>364</v>
      </c>
      <c r="B3" s="38"/>
      <c r="C3" s="38"/>
      <c r="D3" s="38"/>
      <c r="E3" s="38"/>
      <c r="F3" s="38"/>
      <c r="G3" s="38"/>
      <c r="H3" s="38"/>
      <c r="I3" s="38"/>
      <c r="J3" s="38"/>
      <c r="K3" s="38"/>
    </row>
    <row r="4" spans="1:11">
      <c r="A4" s="38" t="s">
        <v>365</v>
      </c>
      <c r="B4" s="38"/>
      <c r="C4" s="38"/>
      <c r="D4" s="38"/>
      <c r="E4" s="38"/>
      <c r="F4" s="38"/>
      <c r="G4" s="38"/>
      <c r="H4" s="38"/>
      <c r="I4" s="38"/>
      <c r="J4" s="38"/>
      <c r="K4" s="38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34" t="s">
        <v>388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4" spans="1:11">
      <c r="A24" s="31" t="s">
        <v>57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6" spans="1:11" ht="46.5">
      <c r="A26" s="12" t="s">
        <v>58</v>
      </c>
      <c r="B26" s="33" t="s">
        <v>389</v>
      </c>
      <c r="C26" s="33"/>
      <c r="D26" s="33"/>
      <c r="E26" s="33"/>
      <c r="F26" s="33"/>
      <c r="G26" s="33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33" t="s">
        <v>390</v>
      </c>
      <c r="C27" s="33"/>
      <c r="D27" s="33"/>
      <c r="E27" s="33"/>
      <c r="F27" s="33"/>
      <c r="G27" s="33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33" t="s">
        <v>65</v>
      </c>
      <c r="C28" s="33"/>
      <c r="D28" s="33"/>
      <c r="E28" s="33"/>
      <c r="F28" s="33"/>
      <c r="G28" s="33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33" t="s">
        <v>391</v>
      </c>
      <c r="C29" s="33"/>
      <c r="D29" s="33"/>
      <c r="E29" s="33"/>
      <c r="F29" s="33"/>
      <c r="G29" s="33"/>
      <c r="H29" s="33"/>
      <c r="I29" s="33"/>
      <c r="J29" s="33"/>
      <c r="K29" s="33"/>
    </row>
    <row r="30" spans="1:11">
      <c r="A30" s="12" t="s">
        <v>70</v>
      </c>
      <c r="B30" s="33" t="s">
        <v>448</v>
      </c>
      <c r="C30" s="33"/>
      <c r="D30" s="33"/>
      <c r="E30" s="33"/>
      <c r="F30" s="33"/>
      <c r="G30" s="33"/>
      <c r="H30" s="33"/>
      <c r="I30" s="33"/>
      <c r="J30" s="33"/>
      <c r="K30" s="33"/>
    </row>
    <row r="32" spans="1:11">
      <c r="A32" s="32" t="s">
        <v>159</v>
      </c>
      <c r="B32" s="32" t="s">
        <v>72</v>
      </c>
      <c r="C32" s="32" t="s">
        <v>73</v>
      </c>
      <c r="D32" s="32"/>
      <c r="E32" s="32"/>
      <c r="F32" s="32"/>
      <c r="G32" s="32" t="s">
        <v>74</v>
      </c>
      <c r="H32" s="32" t="s">
        <v>75</v>
      </c>
      <c r="I32" s="32" t="s">
        <v>76</v>
      </c>
    </row>
    <row r="33" spans="1:9" ht="46.5">
      <c r="A33" s="32"/>
      <c r="B33" s="32"/>
      <c r="C33" s="15" t="s">
        <v>392</v>
      </c>
      <c r="D33" s="15" t="s">
        <v>77</v>
      </c>
      <c r="E33" s="15" t="s">
        <v>393</v>
      </c>
      <c r="F33" s="15" t="s">
        <v>394</v>
      </c>
      <c r="G33" s="32"/>
      <c r="H33" s="32"/>
      <c r="I33" s="32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6:G26"/>
    <mergeCell ref="A2:K2"/>
    <mergeCell ref="A3:K3"/>
    <mergeCell ref="A4:K4"/>
    <mergeCell ref="A22:K22"/>
    <mergeCell ref="A24:K24"/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</mergeCells>
  <conditionalFormatting sqref="I34:I45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>
      <c r="A1" s="31" t="s">
        <v>57</v>
      </c>
      <c r="B1" s="31"/>
      <c r="C1" s="31"/>
      <c r="D1" s="31"/>
      <c r="E1" s="31"/>
      <c r="F1" s="31"/>
      <c r="I1" s="13"/>
      <c r="J1" s="15" t="s">
        <v>455</v>
      </c>
    </row>
    <row r="2" spans="1:10" ht="46.5">
      <c r="I2" s="17" t="s">
        <v>456</v>
      </c>
      <c r="J2" s="17" t="s">
        <v>457</v>
      </c>
    </row>
    <row r="3" spans="1:10" ht="23.25" customHeight="1">
      <c r="A3" s="12" t="s">
        <v>58</v>
      </c>
      <c r="B3" s="33" t="s">
        <v>458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459</v>
      </c>
    </row>
    <row r="4" spans="1:10" ht="23.25" customHeight="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312</v>
      </c>
    </row>
    <row r="5" spans="1:10" ht="46.5" customHeight="1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460</v>
      </c>
    </row>
    <row r="6" spans="1:10" ht="46.5" customHeight="1">
      <c r="A6" s="12" t="s">
        <v>68</v>
      </c>
      <c r="B6" s="33" t="s">
        <v>477</v>
      </c>
      <c r="C6" s="33"/>
      <c r="D6" s="33"/>
      <c r="E6" s="33"/>
      <c r="F6" s="33"/>
      <c r="I6" s="17" t="s">
        <v>234</v>
      </c>
      <c r="J6" s="17" t="s">
        <v>461</v>
      </c>
    </row>
    <row r="7" spans="1:10" ht="46.5">
      <c r="A7" s="12" t="s">
        <v>70</v>
      </c>
      <c r="B7" s="33" t="s">
        <v>462</v>
      </c>
      <c r="C7" s="33"/>
      <c r="D7" s="33"/>
      <c r="E7" s="33"/>
      <c r="F7" s="33"/>
    </row>
    <row r="9" spans="1:10" ht="23.25" customHeight="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463</v>
      </c>
      <c r="C10" s="15" t="s">
        <v>455</v>
      </c>
      <c r="D10" s="32"/>
      <c r="E10" s="32"/>
      <c r="F10" s="32"/>
    </row>
    <row r="11" spans="1:10">
      <c r="A11" s="16" t="s">
        <v>464</v>
      </c>
      <c r="B11" s="13" t="s">
        <v>465</v>
      </c>
      <c r="C11" s="13" t="s">
        <v>461</v>
      </c>
      <c r="D11" s="13" t="s">
        <v>466</v>
      </c>
      <c r="E11" s="13" t="s">
        <v>411</v>
      </c>
      <c r="F11" s="17" t="s">
        <v>5</v>
      </c>
    </row>
    <row r="12" spans="1:10" ht="46.5">
      <c r="A12" s="16" t="s">
        <v>467</v>
      </c>
      <c r="B12" s="13" t="s">
        <v>468</v>
      </c>
      <c r="C12" s="13" t="s">
        <v>459</v>
      </c>
      <c r="D12" s="13" t="s">
        <v>469</v>
      </c>
      <c r="E12" s="13" t="s">
        <v>102</v>
      </c>
      <c r="F12" s="17" t="s">
        <v>5</v>
      </c>
    </row>
    <row r="13" spans="1:10">
      <c r="A13" s="16" t="s">
        <v>470</v>
      </c>
      <c r="B13" s="13" t="s">
        <v>471</v>
      </c>
      <c r="C13" s="13" t="s">
        <v>312</v>
      </c>
      <c r="D13" s="13" t="s">
        <v>466</v>
      </c>
      <c r="E13" s="13" t="s">
        <v>411</v>
      </c>
      <c r="F13" s="17" t="s">
        <v>5</v>
      </c>
    </row>
    <row r="14" spans="1:10">
      <c r="A14" s="16" t="s">
        <v>472</v>
      </c>
      <c r="B14" s="13" t="s">
        <v>473</v>
      </c>
      <c r="C14" s="13" t="s">
        <v>460</v>
      </c>
      <c r="D14" s="13" t="s">
        <v>466</v>
      </c>
      <c r="E14" s="13" t="s">
        <v>411</v>
      </c>
      <c r="F14" s="17" t="s">
        <v>5</v>
      </c>
    </row>
    <row r="15" spans="1:10" ht="46.5">
      <c r="A15" s="16" t="s">
        <v>474</v>
      </c>
      <c r="B15" s="13" t="s">
        <v>475</v>
      </c>
      <c r="C15" s="13" t="s">
        <v>457</v>
      </c>
      <c r="D15" s="13" t="s">
        <v>476</v>
      </c>
      <c r="E15" s="13" t="s">
        <v>102</v>
      </c>
      <c r="F15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5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478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>
      <c r="A3" s="13" t="s">
        <v>371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>
      <c r="A4" s="13" t="s">
        <v>479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>
      <c r="A5" s="13" t="s">
        <v>480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>
      <c r="A6" s="13" t="s">
        <v>481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>
      <c r="A7" s="18" t="s">
        <v>143</v>
      </c>
      <c r="B7" s="20"/>
      <c r="C7" s="20"/>
      <c r="D7" s="20"/>
      <c r="E7" s="20"/>
      <c r="F7" s="20"/>
      <c r="G7" s="20"/>
      <c r="H7" s="20"/>
    </row>
    <row r="8" spans="1:8">
      <c r="A8" s="13" t="s">
        <v>381</v>
      </c>
      <c r="B8" s="17" t="s">
        <v>145</v>
      </c>
      <c r="C8" s="17"/>
      <c r="D8" s="17"/>
      <c r="E8" s="17"/>
      <c r="F8" s="17"/>
      <c r="G8" s="17"/>
      <c r="H8" s="17"/>
    </row>
    <row r="9" spans="1:8">
      <c r="A9" s="13" t="s">
        <v>382</v>
      </c>
      <c r="B9" s="17"/>
      <c r="C9" s="17" t="s">
        <v>145</v>
      </c>
      <c r="D9" s="17"/>
      <c r="E9" s="17"/>
      <c r="F9" s="17"/>
      <c r="G9" s="17"/>
      <c r="H9" s="17"/>
    </row>
    <row r="10" spans="1:8">
      <c r="A10" s="13" t="s">
        <v>383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>
      <c r="A11" s="13" t="s">
        <v>482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>
      <c r="A13" s="34" t="s">
        <v>483</v>
      </c>
      <c r="B13" s="34"/>
      <c r="C13" s="34"/>
      <c r="D13" s="34"/>
      <c r="E13" s="34"/>
      <c r="F13" s="34"/>
      <c r="G13" s="34"/>
      <c r="H13" s="34"/>
    </row>
    <row r="15" spans="1:8">
      <c r="A15" s="31" t="s">
        <v>57</v>
      </c>
      <c r="B15" s="31"/>
      <c r="C15" s="31"/>
      <c r="D15" s="31"/>
      <c r="E15" s="31"/>
      <c r="F15" s="31"/>
      <c r="G15" s="31"/>
      <c r="H15" s="31"/>
    </row>
    <row r="17" spans="1:8">
      <c r="A17" s="12" t="s">
        <v>58</v>
      </c>
      <c r="B17" s="33" t="s">
        <v>484</v>
      </c>
      <c r="C17" s="33"/>
      <c r="D17" s="33"/>
      <c r="E17" s="33"/>
      <c r="F17" s="21"/>
      <c r="G17" s="12" t="s">
        <v>60</v>
      </c>
      <c r="H17" s="14" t="s">
        <v>154</v>
      </c>
    </row>
    <row r="18" spans="1:8">
      <c r="A18" s="12" t="s">
        <v>61</v>
      </c>
      <c r="B18" s="33" t="s">
        <v>155</v>
      </c>
      <c r="C18" s="33"/>
      <c r="D18" s="33"/>
      <c r="E18" s="33"/>
      <c r="F18" s="21"/>
      <c r="G18" s="12" t="s">
        <v>63</v>
      </c>
      <c r="H18" s="14" t="s">
        <v>156</v>
      </c>
    </row>
    <row r="19" spans="1:8" ht="46.5" customHeight="1">
      <c r="A19" s="12" t="s">
        <v>64</v>
      </c>
      <c r="B19" s="33" t="s">
        <v>65</v>
      </c>
      <c r="C19" s="33"/>
      <c r="D19" s="33"/>
      <c r="E19" s="33"/>
      <c r="F19" s="21"/>
      <c r="G19" s="12" t="s">
        <v>66</v>
      </c>
      <c r="H19" s="13" t="s">
        <v>67</v>
      </c>
    </row>
    <row r="20" spans="1:8">
      <c r="A20" s="12" t="s">
        <v>68</v>
      </c>
      <c r="B20" s="33" t="s">
        <v>485</v>
      </c>
      <c r="C20" s="33"/>
      <c r="D20" s="33"/>
      <c r="E20" s="33"/>
      <c r="F20" s="33"/>
      <c r="G20" s="33"/>
      <c r="H20" s="33"/>
    </row>
    <row r="21" spans="1:8">
      <c r="A21" s="12" t="s">
        <v>70</v>
      </c>
      <c r="B21" s="33" t="s">
        <v>486</v>
      </c>
      <c r="C21" s="33"/>
      <c r="D21" s="33"/>
      <c r="E21" s="33"/>
      <c r="F21" s="33"/>
      <c r="G21" s="33"/>
      <c r="H21" s="33"/>
    </row>
    <row r="23" spans="1:8">
      <c r="A23" s="32" t="s">
        <v>159</v>
      </c>
      <c r="B23" s="32" t="s">
        <v>72</v>
      </c>
      <c r="C23" s="32" t="s">
        <v>73</v>
      </c>
      <c r="D23" s="32"/>
      <c r="E23" s="32" t="s">
        <v>74</v>
      </c>
      <c r="F23" s="32" t="s">
        <v>75</v>
      </c>
      <c r="G23" s="32" t="s">
        <v>76</v>
      </c>
    </row>
    <row r="24" spans="1:8">
      <c r="A24" s="32"/>
      <c r="B24" s="32"/>
      <c r="C24" s="15" t="s">
        <v>487</v>
      </c>
      <c r="D24" s="15" t="s">
        <v>77</v>
      </c>
      <c r="E24" s="32"/>
      <c r="F24" s="32"/>
      <c r="G24" s="32"/>
    </row>
    <row r="25" spans="1:8">
      <c r="A25" s="17" t="s">
        <v>162</v>
      </c>
      <c r="B25" s="16" t="s">
        <v>488</v>
      </c>
      <c r="C25" s="13" t="s">
        <v>396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>
      <c r="A26" s="17" t="s">
        <v>167</v>
      </c>
      <c r="B26" s="16" t="s">
        <v>489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>
      <c r="A27" s="17" t="s">
        <v>171</v>
      </c>
      <c r="B27" s="16" t="s">
        <v>490</v>
      </c>
      <c r="C27" s="13" t="s">
        <v>396</v>
      </c>
      <c r="D27" s="13" t="s">
        <v>84</v>
      </c>
      <c r="E27" s="13" t="s">
        <v>491</v>
      </c>
      <c r="F27" s="13" t="s">
        <v>491</v>
      </c>
      <c r="G27" s="17" t="s">
        <v>5</v>
      </c>
    </row>
    <row r="28" spans="1:8">
      <c r="A28" s="17" t="s">
        <v>175</v>
      </c>
      <c r="B28" s="16" t="s">
        <v>492</v>
      </c>
      <c r="C28" s="13" t="s">
        <v>396</v>
      </c>
      <c r="D28" s="13" t="s">
        <v>400</v>
      </c>
      <c r="E28" s="13" t="s">
        <v>402</v>
      </c>
      <c r="F28" s="13" t="s">
        <v>402</v>
      </c>
      <c r="G28" s="17" t="s">
        <v>5</v>
      </c>
    </row>
    <row r="29" spans="1:8">
      <c r="A29" s="17" t="s">
        <v>183</v>
      </c>
      <c r="B29" s="16" t="s">
        <v>493</v>
      </c>
      <c r="C29" s="13" t="s">
        <v>396</v>
      </c>
      <c r="D29" s="13" t="s">
        <v>494</v>
      </c>
      <c r="E29" s="13" t="s">
        <v>491</v>
      </c>
      <c r="F29" s="13" t="s">
        <v>491</v>
      </c>
      <c r="G29" s="17" t="s">
        <v>5</v>
      </c>
    </row>
    <row r="30" spans="1:8">
      <c r="A30" s="17" t="s">
        <v>188</v>
      </c>
      <c r="B30" s="16" t="s">
        <v>495</v>
      </c>
      <c r="C30" s="13" t="s">
        <v>396</v>
      </c>
      <c r="D30" s="13" t="s">
        <v>496</v>
      </c>
      <c r="E30" s="13" t="s">
        <v>402</v>
      </c>
      <c r="F30" s="13" t="s">
        <v>402</v>
      </c>
      <c r="G30" s="17" t="s">
        <v>5</v>
      </c>
    </row>
    <row r="31" spans="1:8" ht="46.5">
      <c r="A31" s="17" t="s">
        <v>188</v>
      </c>
      <c r="B31" s="16" t="s">
        <v>497</v>
      </c>
      <c r="C31" s="13" t="s">
        <v>498</v>
      </c>
      <c r="D31" s="13" t="s">
        <v>494</v>
      </c>
      <c r="E31" s="13" t="s">
        <v>499</v>
      </c>
      <c r="F31" s="13" t="s">
        <v>402</v>
      </c>
      <c r="G31" s="17" t="s">
        <v>5</v>
      </c>
    </row>
    <row r="32" spans="1:8" ht="46.5">
      <c r="A32" s="17" t="s">
        <v>193</v>
      </c>
      <c r="B32" s="16" t="s">
        <v>500</v>
      </c>
      <c r="C32" s="13" t="s">
        <v>396</v>
      </c>
      <c r="D32" s="13" t="s">
        <v>92</v>
      </c>
      <c r="E32" s="13" t="s">
        <v>491</v>
      </c>
      <c r="F32" s="13" t="s">
        <v>491</v>
      </c>
      <c r="G32" s="17" t="s">
        <v>5</v>
      </c>
    </row>
  </sheetData>
  <mergeCells count="13">
    <mergeCell ref="B20:H20"/>
    <mergeCell ref="A13:H13"/>
    <mergeCell ref="A15:H15"/>
    <mergeCell ref="B17:E17"/>
    <mergeCell ref="B18:E18"/>
    <mergeCell ref="B19:E19"/>
    <mergeCell ref="B21:H21"/>
    <mergeCell ref="A23:A24"/>
    <mergeCell ref="B23:B24"/>
    <mergeCell ref="C23:D23"/>
    <mergeCell ref="E23:E24"/>
    <mergeCell ref="F23:F24"/>
    <mergeCell ref="G23:G24"/>
  </mergeCells>
  <conditionalFormatting sqref="G25:G32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35" workbookViewId="0">
      <selection activeCell="L22" sqref="L22"/>
    </sheetView>
  </sheetViews>
  <sheetFormatPr defaultColWidth="7.625" defaultRowHeight="23.2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>
      <c r="A1" s="23" t="s">
        <v>362</v>
      </c>
    </row>
    <row r="2" spans="1:8" ht="22.5" customHeight="1">
      <c r="A2" s="38" t="s">
        <v>501</v>
      </c>
      <c r="B2" s="38"/>
      <c r="C2" s="38"/>
      <c r="D2" s="38"/>
      <c r="E2" s="38"/>
      <c r="F2" s="38"/>
      <c r="G2" s="38"/>
      <c r="H2" s="38"/>
    </row>
    <row r="3" spans="1:8" ht="22.5" customHeight="1">
      <c r="A3" s="38" t="s">
        <v>502</v>
      </c>
      <c r="B3" s="38"/>
      <c r="C3" s="38"/>
      <c r="D3" s="38"/>
      <c r="E3" s="38"/>
      <c r="F3" s="38"/>
      <c r="G3" s="38"/>
      <c r="H3" s="38"/>
    </row>
    <row r="4" spans="1:8" ht="22.5" customHeight="1">
      <c r="A4" s="38" t="s">
        <v>503</v>
      </c>
      <c r="B4" s="38"/>
      <c r="C4" s="38"/>
      <c r="D4" s="38"/>
      <c r="E4" s="38"/>
      <c r="F4" s="38"/>
      <c r="G4" s="38"/>
      <c r="H4" s="38"/>
    </row>
    <row r="6" spans="1:8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>
      <c r="A7" s="13" t="s">
        <v>504</v>
      </c>
      <c r="B7" s="17" t="s">
        <v>505</v>
      </c>
      <c r="C7" s="17" t="s">
        <v>506</v>
      </c>
      <c r="D7" s="17" t="s">
        <v>507</v>
      </c>
      <c r="E7" s="17" t="s">
        <v>508</v>
      </c>
      <c r="F7" s="17" t="s">
        <v>420</v>
      </c>
      <c r="G7" s="17" t="s">
        <v>411</v>
      </c>
      <c r="H7" s="17" t="s">
        <v>509</v>
      </c>
    </row>
    <row r="8" spans="1:8" ht="22.5" customHeight="1">
      <c r="A8" s="13" t="s">
        <v>510</v>
      </c>
      <c r="B8" s="17" t="s">
        <v>511</v>
      </c>
      <c r="C8" s="17" t="s">
        <v>512</v>
      </c>
      <c r="D8" s="17" t="s">
        <v>512</v>
      </c>
      <c r="E8" s="17" t="s">
        <v>512</v>
      </c>
      <c r="F8" s="17" t="s">
        <v>512</v>
      </c>
      <c r="G8" s="17" t="s">
        <v>512</v>
      </c>
      <c r="H8" s="17" t="s">
        <v>512</v>
      </c>
    </row>
    <row r="9" spans="1:8" ht="22.5" customHeight="1">
      <c r="A9" s="13" t="s">
        <v>513</v>
      </c>
      <c r="B9" s="17" t="s">
        <v>512</v>
      </c>
      <c r="C9" s="17" t="s">
        <v>514</v>
      </c>
      <c r="D9" s="17" t="s">
        <v>512</v>
      </c>
      <c r="E9" s="17" t="s">
        <v>512</v>
      </c>
      <c r="F9" s="17" t="s">
        <v>512</v>
      </c>
      <c r="G9" s="17" t="s">
        <v>512</v>
      </c>
      <c r="H9" s="17" t="s">
        <v>512</v>
      </c>
    </row>
    <row r="10" spans="1:8" ht="22.5" customHeight="1">
      <c r="A10" s="13" t="s">
        <v>515</v>
      </c>
      <c r="B10" s="17" t="s">
        <v>512</v>
      </c>
      <c r="C10" s="17" t="s">
        <v>512</v>
      </c>
      <c r="D10" s="17" t="s">
        <v>516</v>
      </c>
      <c r="E10" s="17" t="s">
        <v>512</v>
      </c>
      <c r="F10" s="17" t="s">
        <v>512</v>
      </c>
      <c r="G10" s="17" t="s">
        <v>512</v>
      </c>
      <c r="H10" s="17" t="s">
        <v>512</v>
      </c>
    </row>
    <row r="11" spans="1:8" ht="22.5" customHeight="1">
      <c r="A11" s="13" t="s">
        <v>517</v>
      </c>
      <c r="B11" s="17" t="s">
        <v>512</v>
      </c>
      <c r="C11" s="17" t="s">
        <v>512</v>
      </c>
      <c r="D11" s="17" t="s">
        <v>512</v>
      </c>
      <c r="E11" s="17" t="s">
        <v>518</v>
      </c>
      <c r="F11" s="17" t="s">
        <v>512</v>
      </c>
      <c r="G11" s="17" t="s">
        <v>512</v>
      </c>
      <c r="H11" s="17" t="s">
        <v>512</v>
      </c>
    </row>
    <row r="12" spans="1:8" ht="22.5" customHeight="1">
      <c r="A12" s="13" t="s">
        <v>519</v>
      </c>
      <c r="B12" s="17" t="s">
        <v>520</v>
      </c>
      <c r="C12" s="17" t="s">
        <v>520</v>
      </c>
      <c r="D12" s="17" t="s">
        <v>520</v>
      </c>
      <c r="E12" s="17" t="s">
        <v>512</v>
      </c>
      <c r="F12" s="17" t="s">
        <v>512</v>
      </c>
      <c r="G12" s="17" t="s">
        <v>512</v>
      </c>
      <c r="H12" s="17" t="s">
        <v>512</v>
      </c>
    </row>
    <row r="13" spans="1:8" ht="22.5" customHeight="1">
      <c r="A13" s="13" t="s">
        <v>521</v>
      </c>
      <c r="B13" s="17" t="s">
        <v>512</v>
      </c>
      <c r="C13" s="17" t="s">
        <v>522</v>
      </c>
      <c r="D13" s="17" t="s">
        <v>512</v>
      </c>
      <c r="E13" s="17" t="s">
        <v>512</v>
      </c>
      <c r="F13" s="17" t="s">
        <v>512</v>
      </c>
      <c r="G13" s="17" t="s">
        <v>512</v>
      </c>
      <c r="H13" s="17" t="s">
        <v>512</v>
      </c>
    </row>
    <row r="14" spans="1:8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>
      <c r="A15" s="13" t="s">
        <v>523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>
      <c r="A16" s="13" t="s">
        <v>524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>
      <c r="A18" s="34" t="s">
        <v>525</v>
      </c>
      <c r="B18" s="34"/>
      <c r="C18" s="34"/>
      <c r="D18" s="34"/>
      <c r="E18" s="34"/>
      <c r="F18" s="34"/>
      <c r="G18" s="34"/>
      <c r="H18" s="34"/>
    </row>
    <row r="20" spans="1:8" ht="20.100000000000001" customHeight="1">
      <c r="A20" s="31" t="s">
        <v>57</v>
      </c>
      <c r="B20" s="31"/>
      <c r="C20" s="31"/>
      <c r="D20" s="31"/>
      <c r="E20" s="31"/>
      <c r="F20" s="31"/>
      <c r="G20" s="31"/>
      <c r="H20" s="31"/>
    </row>
    <row r="22" spans="1:8" ht="22.5" customHeight="1">
      <c r="A22" s="12" t="s">
        <v>58</v>
      </c>
      <c r="B22" s="33" t="s">
        <v>526</v>
      </c>
      <c r="C22" s="33"/>
      <c r="D22" s="33"/>
      <c r="E22" s="33"/>
      <c r="F22" s="33"/>
      <c r="G22" s="12" t="s">
        <v>60</v>
      </c>
      <c r="H22" s="14" t="s">
        <v>154</v>
      </c>
    </row>
    <row r="23" spans="1:8" ht="22.5" customHeight="1">
      <c r="A23" s="12" t="s">
        <v>61</v>
      </c>
      <c r="B23" s="33" t="s">
        <v>527</v>
      </c>
      <c r="C23" s="33"/>
      <c r="D23" s="33"/>
      <c r="E23" s="33"/>
      <c r="F23" s="33"/>
      <c r="G23" s="12" t="s">
        <v>63</v>
      </c>
      <c r="H23" s="14" t="s">
        <v>156</v>
      </c>
    </row>
    <row r="24" spans="1:8" ht="55.5" customHeight="1">
      <c r="A24" s="12" t="s">
        <v>64</v>
      </c>
      <c r="B24" s="33" t="s">
        <v>65</v>
      </c>
      <c r="C24" s="33"/>
      <c r="D24" s="33"/>
      <c r="E24" s="33"/>
      <c r="F24" s="33"/>
      <c r="G24" s="12" t="s">
        <v>66</v>
      </c>
      <c r="H24" s="13" t="s">
        <v>67</v>
      </c>
    </row>
    <row r="25" spans="1:8" ht="22.5" customHeight="1">
      <c r="A25" s="12" t="s">
        <v>68</v>
      </c>
      <c r="B25" s="33" t="s">
        <v>528</v>
      </c>
      <c r="C25" s="33"/>
      <c r="D25" s="33"/>
      <c r="E25" s="33"/>
      <c r="F25" s="33"/>
      <c r="G25" s="33"/>
      <c r="H25" s="33"/>
    </row>
    <row r="26" spans="1:8" ht="22.5" customHeight="1">
      <c r="A26" s="12" t="s">
        <v>70</v>
      </c>
      <c r="B26" s="33" t="s">
        <v>529</v>
      </c>
      <c r="C26" s="33"/>
      <c r="D26" s="33"/>
      <c r="E26" s="33"/>
      <c r="F26" s="33"/>
      <c r="G26" s="33"/>
      <c r="H26" s="33"/>
    </row>
    <row r="28" spans="1:8" ht="24" customHeight="1">
      <c r="A28" s="32" t="s">
        <v>159</v>
      </c>
      <c r="B28" s="32" t="s">
        <v>72</v>
      </c>
      <c r="C28" s="32" t="s">
        <v>73</v>
      </c>
      <c r="D28" s="32"/>
      <c r="E28" s="32"/>
      <c r="F28" s="32" t="s">
        <v>74</v>
      </c>
      <c r="G28" s="32" t="s">
        <v>75</v>
      </c>
      <c r="H28" s="32" t="s">
        <v>76</v>
      </c>
    </row>
    <row r="29" spans="1:8" ht="64.5" customHeight="1">
      <c r="A29" s="32"/>
      <c r="B29" s="32"/>
      <c r="C29" s="15" t="s">
        <v>530</v>
      </c>
      <c r="D29" s="15" t="s">
        <v>143</v>
      </c>
      <c r="E29" s="15" t="s">
        <v>531</v>
      </c>
      <c r="F29" s="32"/>
      <c r="G29" s="32"/>
      <c r="H29" s="32"/>
    </row>
    <row r="30" spans="1:8" ht="22.5" customHeight="1">
      <c r="A30" s="17" t="s">
        <v>532</v>
      </c>
      <c r="B30" s="16" t="s">
        <v>533</v>
      </c>
      <c r="C30" s="13" t="s">
        <v>505</v>
      </c>
      <c r="D30" s="13" t="s">
        <v>534</v>
      </c>
      <c r="E30" s="13" t="s">
        <v>85</v>
      </c>
      <c r="F30" s="13" t="s">
        <v>535</v>
      </c>
      <c r="G30" s="13"/>
      <c r="H30" s="17" t="s">
        <v>5</v>
      </c>
    </row>
    <row r="31" spans="1:8" ht="85.5" customHeight="1">
      <c r="A31" s="17" t="s">
        <v>536</v>
      </c>
      <c r="B31" s="16" t="s">
        <v>537</v>
      </c>
      <c r="C31" s="13" t="s">
        <v>505</v>
      </c>
      <c r="D31" s="13" t="s">
        <v>538</v>
      </c>
      <c r="E31" s="13" t="s">
        <v>85</v>
      </c>
      <c r="F31" s="13" t="s">
        <v>539</v>
      </c>
      <c r="G31" s="13" t="s">
        <v>102</v>
      </c>
      <c r="H31" s="17" t="s">
        <v>5</v>
      </c>
    </row>
    <row r="32" spans="1:8" ht="85.5" customHeight="1">
      <c r="A32" s="17" t="s">
        <v>540</v>
      </c>
      <c r="B32" s="16" t="s">
        <v>541</v>
      </c>
      <c r="C32" s="13" t="s">
        <v>505</v>
      </c>
      <c r="D32" s="13" t="s">
        <v>542</v>
      </c>
      <c r="E32" s="13" t="s">
        <v>85</v>
      </c>
      <c r="F32" s="13" t="s">
        <v>543</v>
      </c>
      <c r="G32" s="13" t="s">
        <v>102</v>
      </c>
      <c r="H32" s="17" t="s">
        <v>5</v>
      </c>
    </row>
    <row r="33" spans="1:8" ht="85.5" customHeight="1">
      <c r="A33" s="17" t="s">
        <v>544</v>
      </c>
      <c r="B33" s="16" t="s">
        <v>545</v>
      </c>
      <c r="C33" s="13" t="s">
        <v>505</v>
      </c>
      <c r="D33" s="13" t="s">
        <v>546</v>
      </c>
      <c r="E33" s="13" t="s">
        <v>85</v>
      </c>
      <c r="F33" s="13" t="s">
        <v>547</v>
      </c>
      <c r="G33" s="13" t="s">
        <v>102</v>
      </c>
      <c r="H33" s="17" t="s">
        <v>5</v>
      </c>
    </row>
    <row r="34" spans="1:8" ht="22.5" customHeight="1">
      <c r="A34" s="17" t="s">
        <v>548</v>
      </c>
      <c r="B34" s="16" t="s">
        <v>549</v>
      </c>
      <c r="C34" s="13" t="s">
        <v>505</v>
      </c>
      <c r="D34" s="13" t="s">
        <v>550</v>
      </c>
      <c r="E34" s="13" t="s">
        <v>85</v>
      </c>
      <c r="F34" s="13" t="s">
        <v>466</v>
      </c>
      <c r="G34" s="13" t="s">
        <v>411</v>
      </c>
      <c r="H34" s="17" t="s">
        <v>5</v>
      </c>
    </row>
    <row r="35" spans="1:8" ht="85.5" customHeight="1">
      <c r="A35" s="17" t="s">
        <v>551</v>
      </c>
      <c r="B35" s="16" t="s">
        <v>552</v>
      </c>
      <c r="C35" s="13" t="s">
        <v>505</v>
      </c>
      <c r="D35" s="13" t="s">
        <v>553</v>
      </c>
      <c r="E35" s="13" t="s">
        <v>85</v>
      </c>
      <c r="F35" s="13" t="s">
        <v>554</v>
      </c>
      <c r="G35" s="13" t="s">
        <v>102</v>
      </c>
      <c r="H35" s="17" t="s">
        <v>5</v>
      </c>
    </row>
    <row r="36" spans="1:8" ht="85.5" customHeight="1">
      <c r="A36" s="17" t="s">
        <v>555</v>
      </c>
      <c r="B36" s="16" t="s">
        <v>556</v>
      </c>
      <c r="C36" s="13" t="s">
        <v>506</v>
      </c>
      <c r="D36" s="13" t="s">
        <v>534</v>
      </c>
      <c r="E36" s="13" t="s">
        <v>85</v>
      </c>
      <c r="F36" s="13" t="s">
        <v>557</v>
      </c>
      <c r="G36" s="13" t="s">
        <v>102</v>
      </c>
      <c r="H36" s="17" t="s">
        <v>5</v>
      </c>
    </row>
    <row r="37" spans="1:8" ht="22.5" customHeight="1">
      <c r="A37" s="17" t="s">
        <v>558</v>
      </c>
      <c r="B37" s="16" t="s">
        <v>559</v>
      </c>
      <c r="C37" s="13" t="s">
        <v>506</v>
      </c>
      <c r="D37" s="13" t="s">
        <v>538</v>
      </c>
      <c r="E37" s="13" t="s">
        <v>85</v>
      </c>
      <c r="F37" s="13" t="s">
        <v>560</v>
      </c>
      <c r="G37" s="13" t="s">
        <v>507</v>
      </c>
      <c r="H37" s="17" t="s">
        <v>5</v>
      </c>
    </row>
    <row r="38" spans="1:8" ht="85.5" customHeight="1">
      <c r="A38" s="17" t="s">
        <v>561</v>
      </c>
      <c r="B38" s="16" t="s">
        <v>562</v>
      </c>
      <c r="C38" s="13" t="s">
        <v>506</v>
      </c>
      <c r="D38" s="13" t="s">
        <v>542</v>
      </c>
      <c r="E38" s="13" t="s">
        <v>85</v>
      </c>
      <c r="F38" s="13" t="s">
        <v>563</v>
      </c>
      <c r="G38" s="13" t="s">
        <v>102</v>
      </c>
      <c r="H38" s="17" t="s">
        <v>5</v>
      </c>
    </row>
    <row r="39" spans="1:8" ht="85.5" customHeight="1">
      <c r="A39" s="17" t="s">
        <v>564</v>
      </c>
      <c r="B39" s="16" t="s">
        <v>565</v>
      </c>
      <c r="C39" s="13" t="s">
        <v>506</v>
      </c>
      <c r="D39" s="13" t="s">
        <v>546</v>
      </c>
      <c r="E39" s="13" t="s">
        <v>85</v>
      </c>
      <c r="F39" s="13" t="s">
        <v>566</v>
      </c>
      <c r="G39" s="13" t="s">
        <v>102</v>
      </c>
      <c r="H39" s="17" t="s">
        <v>5</v>
      </c>
    </row>
    <row r="40" spans="1:8" ht="22.5" customHeight="1">
      <c r="A40" s="17" t="s">
        <v>567</v>
      </c>
      <c r="B40" s="16" t="s">
        <v>568</v>
      </c>
      <c r="C40" s="13" t="s">
        <v>506</v>
      </c>
      <c r="D40" s="13" t="s">
        <v>550</v>
      </c>
      <c r="E40" s="13" t="s">
        <v>85</v>
      </c>
      <c r="F40" s="13" t="s">
        <v>466</v>
      </c>
      <c r="G40" s="13" t="s">
        <v>411</v>
      </c>
      <c r="H40" s="17" t="s">
        <v>5</v>
      </c>
    </row>
    <row r="41" spans="1:8" ht="22.5" customHeight="1">
      <c r="A41" s="17" t="s">
        <v>569</v>
      </c>
      <c r="B41" s="16" t="s">
        <v>570</v>
      </c>
      <c r="C41" s="13" t="s">
        <v>506</v>
      </c>
      <c r="D41" s="13" t="s">
        <v>553</v>
      </c>
      <c r="E41" s="13" t="s">
        <v>85</v>
      </c>
      <c r="F41" s="13" t="s">
        <v>571</v>
      </c>
      <c r="G41" s="13" t="s">
        <v>509</v>
      </c>
      <c r="H41" s="17" t="s">
        <v>5</v>
      </c>
    </row>
    <row r="42" spans="1:8" ht="85.5" customHeight="1">
      <c r="A42" s="17" t="s">
        <v>572</v>
      </c>
      <c r="B42" s="16" t="s">
        <v>573</v>
      </c>
      <c r="C42" s="13" t="s">
        <v>507</v>
      </c>
      <c r="D42" s="13" t="s">
        <v>534</v>
      </c>
      <c r="E42" s="13" t="s">
        <v>85</v>
      </c>
      <c r="F42" s="13" t="s">
        <v>574</v>
      </c>
      <c r="G42" s="13" t="s">
        <v>102</v>
      </c>
      <c r="H42" s="17" t="s">
        <v>5</v>
      </c>
    </row>
    <row r="43" spans="1:8" ht="85.5" customHeight="1">
      <c r="A43" s="17" t="s">
        <v>575</v>
      </c>
      <c r="B43" s="16" t="s">
        <v>576</v>
      </c>
      <c r="C43" s="13" t="s">
        <v>507</v>
      </c>
      <c r="D43" s="13" t="s">
        <v>538</v>
      </c>
      <c r="E43" s="13" t="s">
        <v>85</v>
      </c>
      <c r="F43" s="13" t="s">
        <v>577</v>
      </c>
      <c r="G43" s="13" t="s">
        <v>102</v>
      </c>
      <c r="H43" s="17" t="s">
        <v>5</v>
      </c>
    </row>
    <row r="44" spans="1:8" ht="22.5" customHeight="1">
      <c r="A44" s="17" t="s">
        <v>578</v>
      </c>
      <c r="B44" s="16" t="s">
        <v>579</v>
      </c>
      <c r="C44" s="13" t="s">
        <v>507</v>
      </c>
      <c r="D44" s="13" t="s">
        <v>542</v>
      </c>
      <c r="E44" s="13" t="s">
        <v>85</v>
      </c>
      <c r="F44" s="13" t="s">
        <v>580</v>
      </c>
      <c r="G44" s="13" t="s">
        <v>508</v>
      </c>
      <c r="H44" s="17" t="s">
        <v>5</v>
      </c>
    </row>
    <row r="45" spans="1:8" ht="85.5" customHeight="1">
      <c r="A45" s="17" t="s">
        <v>581</v>
      </c>
      <c r="B45" s="16" t="s">
        <v>582</v>
      </c>
      <c r="C45" s="13" t="s">
        <v>507</v>
      </c>
      <c r="D45" s="13" t="s">
        <v>546</v>
      </c>
      <c r="E45" s="13" t="s">
        <v>85</v>
      </c>
      <c r="F45" s="13" t="s">
        <v>583</v>
      </c>
      <c r="G45" s="13" t="s">
        <v>102</v>
      </c>
      <c r="H45" s="17" t="s">
        <v>5</v>
      </c>
    </row>
    <row r="46" spans="1:8" ht="22.5" customHeight="1">
      <c r="A46" s="17" t="s">
        <v>584</v>
      </c>
      <c r="B46" s="16" t="s">
        <v>585</v>
      </c>
      <c r="C46" s="13" t="s">
        <v>507</v>
      </c>
      <c r="D46" s="13" t="s">
        <v>550</v>
      </c>
      <c r="E46" s="13" t="s">
        <v>85</v>
      </c>
      <c r="F46" s="13" t="s">
        <v>466</v>
      </c>
      <c r="G46" s="13"/>
      <c r="H46" s="17" t="s">
        <v>5</v>
      </c>
    </row>
    <row r="47" spans="1:8" ht="85.5" customHeight="1">
      <c r="A47" s="17" t="s">
        <v>586</v>
      </c>
      <c r="B47" s="16" t="s">
        <v>587</v>
      </c>
      <c r="C47" s="13" t="s">
        <v>507</v>
      </c>
      <c r="D47" s="13" t="s">
        <v>553</v>
      </c>
      <c r="E47" s="13" t="s">
        <v>85</v>
      </c>
      <c r="F47" s="13" t="s">
        <v>588</v>
      </c>
      <c r="G47" s="13" t="s">
        <v>102</v>
      </c>
      <c r="H47" s="17" t="s">
        <v>5</v>
      </c>
    </row>
    <row r="48" spans="1:8" ht="85.5" customHeight="1">
      <c r="A48" s="17" t="s">
        <v>589</v>
      </c>
      <c r="B48" s="16" t="s">
        <v>590</v>
      </c>
      <c r="C48" s="13" t="s">
        <v>508</v>
      </c>
      <c r="D48" s="13" t="s">
        <v>534</v>
      </c>
      <c r="E48" s="13" t="s">
        <v>85</v>
      </c>
      <c r="F48" s="13" t="s">
        <v>591</v>
      </c>
      <c r="G48" s="13" t="s">
        <v>102</v>
      </c>
      <c r="H48" s="17" t="s">
        <v>5</v>
      </c>
    </row>
    <row r="49" spans="1:8" ht="85.5" customHeight="1">
      <c r="A49" s="17" t="s">
        <v>592</v>
      </c>
      <c r="B49" s="16" t="s">
        <v>593</v>
      </c>
      <c r="C49" s="13" t="s">
        <v>508</v>
      </c>
      <c r="D49" s="13" t="s">
        <v>538</v>
      </c>
      <c r="E49" s="13" t="s">
        <v>85</v>
      </c>
      <c r="F49" s="13" t="s">
        <v>594</v>
      </c>
      <c r="G49" s="13" t="s">
        <v>102</v>
      </c>
      <c r="H49" s="17" t="s">
        <v>5</v>
      </c>
    </row>
    <row r="50" spans="1:8" ht="85.5" customHeight="1">
      <c r="A50" s="17" t="s">
        <v>595</v>
      </c>
      <c r="B50" s="16" t="s">
        <v>596</v>
      </c>
      <c r="C50" s="13" t="s">
        <v>508</v>
      </c>
      <c r="D50" s="13" t="s">
        <v>542</v>
      </c>
      <c r="E50" s="13" t="s">
        <v>85</v>
      </c>
      <c r="F50" s="13" t="s">
        <v>597</v>
      </c>
      <c r="G50" s="13" t="s">
        <v>102</v>
      </c>
      <c r="H50" s="17" t="s">
        <v>5</v>
      </c>
    </row>
    <row r="51" spans="1:8" ht="22.5" customHeight="1">
      <c r="A51" s="17" t="s">
        <v>598</v>
      </c>
      <c r="B51" s="16" t="s">
        <v>599</v>
      </c>
      <c r="C51" s="13" t="s">
        <v>508</v>
      </c>
      <c r="D51" s="13" t="s">
        <v>546</v>
      </c>
      <c r="E51" s="13" t="s">
        <v>420</v>
      </c>
      <c r="F51" s="13" t="s">
        <v>600</v>
      </c>
      <c r="G51" s="13" t="s">
        <v>420</v>
      </c>
      <c r="H51" s="17" t="s">
        <v>5</v>
      </c>
    </row>
    <row r="52" spans="1:8" ht="64.5" customHeight="1">
      <c r="A52" s="17" t="s">
        <v>598</v>
      </c>
      <c r="B52" s="16" t="s">
        <v>601</v>
      </c>
      <c r="C52" s="13" t="s">
        <v>508</v>
      </c>
      <c r="D52" s="13" t="s">
        <v>546</v>
      </c>
      <c r="E52" s="13" t="s">
        <v>602</v>
      </c>
      <c r="F52" s="13" t="s">
        <v>603</v>
      </c>
      <c r="G52" s="13" t="s">
        <v>102</v>
      </c>
      <c r="H52" s="17" t="s">
        <v>5</v>
      </c>
    </row>
    <row r="53" spans="1:8" ht="85.5" customHeight="1">
      <c r="A53" s="17" t="s">
        <v>604</v>
      </c>
      <c r="B53" s="16" t="s">
        <v>605</v>
      </c>
      <c r="C53" s="13" t="s">
        <v>508</v>
      </c>
      <c r="D53" s="13" t="s">
        <v>550</v>
      </c>
      <c r="E53" s="13" t="s">
        <v>85</v>
      </c>
      <c r="F53" s="13" t="s">
        <v>606</v>
      </c>
      <c r="G53" s="13" t="s">
        <v>102</v>
      </c>
      <c r="H53" s="17" t="s">
        <v>5</v>
      </c>
    </row>
    <row r="54" spans="1:8" ht="85.5" customHeight="1">
      <c r="A54" s="17" t="s">
        <v>607</v>
      </c>
      <c r="B54" s="16" t="s">
        <v>608</v>
      </c>
      <c r="C54" s="13" t="s">
        <v>508</v>
      </c>
      <c r="D54" s="13" t="s">
        <v>553</v>
      </c>
      <c r="E54" s="13" t="s">
        <v>85</v>
      </c>
      <c r="F54" s="13" t="s">
        <v>609</v>
      </c>
      <c r="G54" s="13" t="s">
        <v>102</v>
      </c>
      <c r="H54" s="17" t="s">
        <v>5</v>
      </c>
    </row>
    <row r="55" spans="1:8" ht="85.5" customHeight="1">
      <c r="A55" s="17" t="s">
        <v>610</v>
      </c>
      <c r="B55" s="16" t="s">
        <v>611</v>
      </c>
      <c r="C55" s="13" t="s">
        <v>420</v>
      </c>
      <c r="D55" s="13" t="s">
        <v>534</v>
      </c>
      <c r="E55" s="13" t="s">
        <v>85</v>
      </c>
      <c r="F55" s="13" t="s">
        <v>612</v>
      </c>
      <c r="G55" s="13" t="s">
        <v>102</v>
      </c>
      <c r="H55" s="17" t="s">
        <v>5</v>
      </c>
    </row>
    <row r="56" spans="1:8" ht="85.5" customHeight="1">
      <c r="A56" s="17" t="s">
        <v>613</v>
      </c>
      <c r="B56" s="16" t="s">
        <v>614</v>
      </c>
      <c r="C56" s="13" t="s">
        <v>420</v>
      </c>
      <c r="D56" s="13" t="s">
        <v>538</v>
      </c>
      <c r="E56" s="13" t="s">
        <v>85</v>
      </c>
      <c r="F56" s="13" t="s">
        <v>615</v>
      </c>
      <c r="G56" s="13" t="s">
        <v>102</v>
      </c>
      <c r="H56" s="17" t="s">
        <v>5</v>
      </c>
    </row>
    <row r="57" spans="1:8" ht="85.5" customHeight="1">
      <c r="A57" s="17" t="s">
        <v>616</v>
      </c>
      <c r="B57" s="16" t="s">
        <v>617</v>
      </c>
      <c r="C57" s="13" t="s">
        <v>420</v>
      </c>
      <c r="D57" s="13" t="s">
        <v>542</v>
      </c>
      <c r="E57" s="13" t="s">
        <v>85</v>
      </c>
      <c r="F57" s="13" t="s">
        <v>618</v>
      </c>
      <c r="G57" s="13" t="s">
        <v>102</v>
      </c>
      <c r="H57" s="17" t="s">
        <v>5</v>
      </c>
    </row>
    <row r="58" spans="1:8" ht="85.5" customHeight="1">
      <c r="A58" s="17" t="s">
        <v>619</v>
      </c>
      <c r="B58" s="16" t="s">
        <v>620</v>
      </c>
      <c r="C58" s="13" t="s">
        <v>420</v>
      </c>
      <c r="D58" s="13" t="s">
        <v>546</v>
      </c>
      <c r="E58" s="13" t="s">
        <v>85</v>
      </c>
      <c r="F58" s="13" t="s">
        <v>621</v>
      </c>
      <c r="G58" s="13" t="s">
        <v>102</v>
      </c>
      <c r="H58" s="17" t="s">
        <v>5</v>
      </c>
    </row>
    <row r="59" spans="1:8" ht="85.5" customHeight="1">
      <c r="A59" s="17" t="s">
        <v>622</v>
      </c>
      <c r="B59" s="16" t="s">
        <v>623</v>
      </c>
      <c r="C59" s="13" t="s">
        <v>420</v>
      </c>
      <c r="D59" s="13" t="s">
        <v>550</v>
      </c>
      <c r="E59" s="13" t="s">
        <v>85</v>
      </c>
      <c r="F59" s="13" t="s">
        <v>624</v>
      </c>
      <c r="G59" s="13" t="s">
        <v>102</v>
      </c>
      <c r="H59" s="17" t="s">
        <v>5</v>
      </c>
    </row>
    <row r="60" spans="1:8" ht="85.5" customHeight="1">
      <c r="A60" s="17" t="s">
        <v>625</v>
      </c>
      <c r="B60" s="16" t="s">
        <v>626</v>
      </c>
      <c r="C60" s="13" t="s">
        <v>420</v>
      </c>
      <c r="D60" s="13" t="s">
        <v>553</v>
      </c>
      <c r="E60" s="13" t="s">
        <v>85</v>
      </c>
      <c r="F60" s="13" t="s">
        <v>627</v>
      </c>
      <c r="G60" s="13" t="s">
        <v>102</v>
      </c>
      <c r="H60" s="17" t="s">
        <v>5</v>
      </c>
    </row>
    <row r="61" spans="1:8" ht="85.5" customHeight="1">
      <c r="A61" s="17" t="s">
        <v>628</v>
      </c>
      <c r="B61" s="16" t="s">
        <v>629</v>
      </c>
      <c r="C61" s="13" t="s">
        <v>411</v>
      </c>
      <c r="D61" s="13" t="s">
        <v>534</v>
      </c>
      <c r="E61" s="13" t="s">
        <v>85</v>
      </c>
      <c r="F61" s="13" t="s">
        <v>630</v>
      </c>
      <c r="G61" s="13" t="s">
        <v>102</v>
      </c>
      <c r="H61" s="17" t="s">
        <v>5</v>
      </c>
    </row>
    <row r="62" spans="1:8" ht="85.5" customHeight="1">
      <c r="A62" s="17" t="s">
        <v>631</v>
      </c>
      <c r="B62" s="16" t="s">
        <v>632</v>
      </c>
      <c r="C62" s="13" t="s">
        <v>411</v>
      </c>
      <c r="D62" s="13" t="s">
        <v>538</v>
      </c>
      <c r="E62" s="13" t="s">
        <v>85</v>
      </c>
      <c r="F62" s="13" t="s">
        <v>633</v>
      </c>
      <c r="G62" s="13" t="s">
        <v>102</v>
      </c>
      <c r="H62" s="17" t="s">
        <v>5</v>
      </c>
    </row>
    <row r="63" spans="1:8" ht="85.5" customHeight="1">
      <c r="A63" s="17" t="s">
        <v>634</v>
      </c>
      <c r="B63" s="16" t="s">
        <v>635</v>
      </c>
      <c r="C63" s="13" t="s">
        <v>411</v>
      </c>
      <c r="D63" s="13" t="s">
        <v>542</v>
      </c>
      <c r="E63" s="13" t="s">
        <v>85</v>
      </c>
      <c r="F63" s="13" t="s">
        <v>636</v>
      </c>
      <c r="G63" s="13" t="s">
        <v>102</v>
      </c>
      <c r="H63" s="17" t="s">
        <v>5</v>
      </c>
    </row>
    <row r="64" spans="1:8" ht="85.5" customHeight="1">
      <c r="A64" s="17" t="s">
        <v>637</v>
      </c>
      <c r="B64" s="16" t="s">
        <v>638</v>
      </c>
      <c r="C64" s="13" t="s">
        <v>411</v>
      </c>
      <c r="D64" s="13" t="s">
        <v>546</v>
      </c>
      <c r="E64" s="13" t="s">
        <v>85</v>
      </c>
      <c r="F64" s="13" t="s">
        <v>639</v>
      </c>
      <c r="G64" s="13" t="s">
        <v>102</v>
      </c>
      <c r="H64" s="17" t="s">
        <v>5</v>
      </c>
    </row>
    <row r="65" spans="1:8" ht="85.5" customHeight="1">
      <c r="A65" s="17" t="s">
        <v>640</v>
      </c>
      <c r="B65" s="16" t="s">
        <v>641</v>
      </c>
      <c r="C65" s="13" t="s">
        <v>411</v>
      </c>
      <c r="D65" s="13" t="s">
        <v>550</v>
      </c>
      <c r="E65" s="13" t="s">
        <v>85</v>
      </c>
      <c r="F65" s="13" t="s">
        <v>642</v>
      </c>
      <c r="G65" s="13" t="s">
        <v>102</v>
      </c>
      <c r="H65" s="17" t="s">
        <v>5</v>
      </c>
    </row>
    <row r="66" spans="1:8" ht="85.5" customHeight="1">
      <c r="A66" s="17" t="s">
        <v>643</v>
      </c>
      <c r="B66" s="16" t="s">
        <v>644</v>
      </c>
      <c r="C66" s="13" t="s">
        <v>411</v>
      </c>
      <c r="D66" s="13" t="s">
        <v>553</v>
      </c>
      <c r="E66" s="13" t="s">
        <v>85</v>
      </c>
      <c r="F66" s="13" t="s">
        <v>645</v>
      </c>
      <c r="G66" s="13" t="s">
        <v>102</v>
      </c>
      <c r="H66" s="17" t="s">
        <v>5</v>
      </c>
    </row>
    <row r="67" spans="1:8" ht="85.5" customHeight="1">
      <c r="A67" s="17" t="s">
        <v>646</v>
      </c>
      <c r="B67" s="16" t="s">
        <v>647</v>
      </c>
      <c r="C67" s="13" t="s">
        <v>509</v>
      </c>
      <c r="D67" s="13" t="s">
        <v>534</v>
      </c>
      <c r="E67" s="13" t="s">
        <v>85</v>
      </c>
      <c r="F67" s="13" t="s">
        <v>648</v>
      </c>
      <c r="G67" s="13" t="s">
        <v>102</v>
      </c>
      <c r="H67" s="17" t="s">
        <v>5</v>
      </c>
    </row>
    <row r="68" spans="1:8" ht="85.5" customHeight="1">
      <c r="A68" s="17" t="s">
        <v>649</v>
      </c>
      <c r="B68" s="16" t="s">
        <v>650</v>
      </c>
      <c r="C68" s="13" t="s">
        <v>509</v>
      </c>
      <c r="D68" s="13" t="s">
        <v>538</v>
      </c>
      <c r="E68" s="13" t="s">
        <v>85</v>
      </c>
      <c r="F68" s="13" t="s">
        <v>651</v>
      </c>
      <c r="G68" s="13" t="s">
        <v>102</v>
      </c>
      <c r="H68" s="17" t="s">
        <v>5</v>
      </c>
    </row>
    <row r="69" spans="1:8" ht="85.5" customHeight="1">
      <c r="A69" s="17" t="s">
        <v>652</v>
      </c>
      <c r="B69" s="16" t="s">
        <v>653</v>
      </c>
      <c r="C69" s="13" t="s">
        <v>509</v>
      </c>
      <c r="D69" s="13" t="s">
        <v>542</v>
      </c>
      <c r="E69" s="13" t="s">
        <v>85</v>
      </c>
      <c r="F69" s="13" t="s">
        <v>654</v>
      </c>
      <c r="G69" s="13" t="s">
        <v>102</v>
      </c>
      <c r="H69" s="17" t="s">
        <v>5</v>
      </c>
    </row>
    <row r="70" spans="1:8" ht="85.5" customHeight="1">
      <c r="A70" s="17" t="s">
        <v>655</v>
      </c>
      <c r="B70" s="16" t="s">
        <v>656</v>
      </c>
      <c r="C70" s="13" t="s">
        <v>509</v>
      </c>
      <c r="D70" s="13" t="s">
        <v>546</v>
      </c>
      <c r="E70" s="13" t="s">
        <v>85</v>
      </c>
      <c r="F70" s="13" t="s">
        <v>657</v>
      </c>
      <c r="G70" s="13" t="s">
        <v>102</v>
      </c>
      <c r="H70" s="17" t="s">
        <v>5</v>
      </c>
    </row>
    <row r="71" spans="1:8" ht="85.5" customHeight="1">
      <c r="A71" s="17" t="s">
        <v>658</v>
      </c>
      <c r="B71" s="16" t="s">
        <v>659</v>
      </c>
      <c r="C71" s="13" t="s">
        <v>509</v>
      </c>
      <c r="D71" s="13" t="s">
        <v>550</v>
      </c>
      <c r="E71" s="13" t="s">
        <v>85</v>
      </c>
      <c r="F71" s="13" t="s">
        <v>660</v>
      </c>
      <c r="G71" s="13" t="s">
        <v>102</v>
      </c>
      <c r="H71" s="17" t="s">
        <v>5</v>
      </c>
    </row>
    <row r="72" spans="1:8" ht="85.5" customHeight="1">
      <c r="A72" s="17" t="s">
        <v>661</v>
      </c>
      <c r="B72" s="16" t="s">
        <v>662</v>
      </c>
      <c r="C72" s="13" t="s">
        <v>509</v>
      </c>
      <c r="D72" s="13" t="s">
        <v>553</v>
      </c>
      <c r="E72" s="13" t="s">
        <v>85</v>
      </c>
      <c r="F72" s="13" t="s">
        <v>663</v>
      </c>
      <c r="G72" s="13" t="s">
        <v>102</v>
      </c>
      <c r="H72" s="17" t="s">
        <v>5</v>
      </c>
    </row>
    <row r="73" spans="1:8" ht="64.5" customHeight="1">
      <c r="A73" s="17" t="s">
        <v>664</v>
      </c>
      <c r="B73" s="16" t="s">
        <v>665</v>
      </c>
      <c r="C73" s="13" t="s">
        <v>506</v>
      </c>
      <c r="D73" s="13" t="s">
        <v>666</v>
      </c>
      <c r="E73" s="13" t="s">
        <v>85</v>
      </c>
      <c r="F73" s="13" t="s">
        <v>667</v>
      </c>
      <c r="G73" s="13" t="s">
        <v>102</v>
      </c>
      <c r="H73" s="17" t="s">
        <v>5</v>
      </c>
    </row>
    <row r="74" spans="1:8" ht="85.5" customHeight="1">
      <c r="A74" s="17" t="s">
        <v>664</v>
      </c>
      <c r="B74" s="16" t="s">
        <v>668</v>
      </c>
      <c r="C74" s="13" t="s">
        <v>669</v>
      </c>
      <c r="D74" s="13" t="s">
        <v>670</v>
      </c>
      <c r="E74" s="13" t="s">
        <v>85</v>
      </c>
      <c r="F74" s="13" t="s">
        <v>671</v>
      </c>
      <c r="G74" s="13" t="s">
        <v>672</v>
      </c>
      <c r="H74" s="17" t="s">
        <v>6</v>
      </c>
    </row>
  </sheetData>
  <mergeCells count="16">
    <mergeCell ref="B22:F22"/>
    <mergeCell ref="A2:H2"/>
    <mergeCell ref="A3:H3"/>
    <mergeCell ref="A4:H4"/>
    <mergeCell ref="A18:H18"/>
    <mergeCell ref="A20:H20"/>
    <mergeCell ref="A28:A29"/>
    <mergeCell ref="B28:B29"/>
    <mergeCell ref="C28:E28"/>
    <mergeCell ref="F28:F29"/>
    <mergeCell ref="G28:G29"/>
    <mergeCell ref="H28:H29"/>
    <mergeCell ref="B23:F23"/>
    <mergeCell ref="B24:F24"/>
    <mergeCell ref="B25:H25"/>
    <mergeCell ref="B26:H26"/>
  </mergeCells>
  <conditionalFormatting sqref="H30:H74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681</v>
      </c>
      <c r="C4" s="30"/>
      <c r="E4" s="11" t="s">
        <v>85</v>
      </c>
      <c r="F4" s="30" t="s">
        <v>682</v>
      </c>
      <c r="G4" s="30"/>
      <c r="H4" s="30"/>
      <c r="I4" s="30"/>
    </row>
    <row r="5" spans="1:9" ht="24" thickBot="1">
      <c r="A5" s="11" t="s">
        <v>23</v>
      </c>
      <c r="B5" s="30" t="s">
        <v>535</v>
      </c>
      <c r="C5" s="30"/>
    </row>
    <row r="6" spans="1:9" ht="24" thickBot="1">
      <c r="A6" s="11" t="s">
        <v>27</v>
      </c>
      <c r="B6" s="30" t="s">
        <v>560</v>
      </c>
      <c r="C6" s="30"/>
    </row>
    <row r="7" spans="1:9" ht="24" thickBot="1">
      <c r="A7" s="11" t="s">
        <v>31</v>
      </c>
      <c r="B7" s="30" t="s">
        <v>683</v>
      </c>
      <c r="C7" s="30"/>
    </row>
    <row r="8" spans="1:9" ht="24" thickBot="1">
      <c r="A8" s="11" t="s">
        <v>35</v>
      </c>
      <c r="B8" s="30" t="s">
        <v>684</v>
      </c>
      <c r="C8" s="30"/>
    </row>
    <row r="9" spans="1:9" ht="24" thickBot="1">
      <c r="A9" s="11" t="s">
        <v>39</v>
      </c>
      <c r="B9" s="30" t="s">
        <v>466</v>
      </c>
      <c r="C9" s="30"/>
    </row>
    <row r="10" spans="1:9" ht="24" thickBot="1">
      <c r="A10" s="11" t="s">
        <v>685</v>
      </c>
      <c r="B10" s="30" t="s">
        <v>571</v>
      </c>
      <c r="C10" s="30"/>
    </row>
    <row r="11" spans="1:9" ht="24" thickBot="1">
      <c r="A11" s="11" t="s">
        <v>686</v>
      </c>
      <c r="B11" s="30" t="s">
        <v>687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688</v>
      </c>
      <c r="C15" s="33"/>
      <c r="D15" s="21"/>
      <c r="E15" s="21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689</v>
      </c>
      <c r="C16" s="33"/>
      <c r="D16" s="21"/>
      <c r="E16" s="21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21"/>
      <c r="E17" s="21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690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691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15" t="s">
        <v>73</v>
      </c>
      <c r="C21" s="32" t="s">
        <v>74</v>
      </c>
      <c r="D21" s="32" t="s">
        <v>75</v>
      </c>
      <c r="E21" s="32" t="s">
        <v>76</v>
      </c>
    </row>
    <row r="22" spans="1:9">
      <c r="A22" s="32"/>
      <c r="B22" s="15" t="s">
        <v>692</v>
      </c>
      <c r="C22" s="32"/>
      <c r="D22" s="32"/>
      <c r="E22" s="32"/>
    </row>
    <row r="23" spans="1:9" ht="46.5">
      <c r="A23" s="16" t="s">
        <v>693</v>
      </c>
      <c r="B23" s="13" t="s">
        <v>505</v>
      </c>
      <c r="C23" s="13" t="s">
        <v>694</v>
      </c>
      <c r="D23" s="13" t="s">
        <v>505</v>
      </c>
      <c r="E23" s="17" t="s">
        <v>5</v>
      </c>
    </row>
    <row r="24" spans="1:9" ht="46.5">
      <c r="A24" s="16" t="s">
        <v>695</v>
      </c>
      <c r="B24" s="13" t="s">
        <v>506</v>
      </c>
      <c r="C24" s="13" t="s">
        <v>696</v>
      </c>
      <c r="D24" s="13" t="s">
        <v>506</v>
      </c>
      <c r="E24" s="17" t="s">
        <v>5</v>
      </c>
    </row>
    <row r="25" spans="1:9" ht="46.5">
      <c r="A25" s="16" t="s">
        <v>697</v>
      </c>
      <c r="B25" s="13" t="s">
        <v>507</v>
      </c>
      <c r="C25" s="13" t="s">
        <v>698</v>
      </c>
      <c r="D25" s="13" t="s">
        <v>507</v>
      </c>
      <c r="E25" s="17" t="s">
        <v>5</v>
      </c>
    </row>
    <row r="26" spans="1:9" ht="46.5">
      <c r="A26" s="16" t="s">
        <v>699</v>
      </c>
      <c r="B26" s="13" t="s">
        <v>508</v>
      </c>
      <c r="C26" s="13" t="s">
        <v>700</v>
      </c>
      <c r="D26" s="13" t="s">
        <v>508</v>
      </c>
      <c r="E26" s="17" t="s">
        <v>5</v>
      </c>
    </row>
    <row r="27" spans="1:9" ht="46.5">
      <c r="A27" s="16" t="s">
        <v>701</v>
      </c>
      <c r="B27" s="13" t="s">
        <v>420</v>
      </c>
      <c r="C27" s="13" t="s">
        <v>702</v>
      </c>
      <c r="D27" s="13" t="s">
        <v>420</v>
      </c>
      <c r="E27" s="17" t="s">
        <v>5</v>
      </c>
    </row>
    <row r="28" spans="1:9" ht="46.5">
      <c r="A28" s="16" t="s">
        <v>703</v>
      </c>
      <c r="B28" s="13" t="s">
        <v>411</v>
      </c>
      <c r="C28" s="13" t="s">
        <v>704</v>
      </c>
      <c r="D28" s="13" t="s">
        <v>411</v>
      </c>
      <c r="E28" s="17" t="s">
        <v>5</v>
      </c>
    </row>
    <row r="29" spans="1:9" ht="46.5">
      <c r="A29" s="16" t="s">
        <v>705</v>
      </c>
      <c r="B29" s="13" t="s">
        <v>509</v>
      </c>
      <c r="C29" s="13" t="s">
        <v>706</v>
      </c>
      <c r="D29" s="13" t="s">
        <v>509</v>
      </c>
      <c r="E29" s="17" t="s">
        <v>5</v>
      </c>
    </row>
    <row r="30" spans="1:9" ht="46.5">
      <c r="A30" s="16" t="s">
        <v>707</v>
      </c>
      <c r="B30" s="13" t="s">
        <v>93</v>
      </c>
      <c r="C30" s="13" t="s">
        <v>708</v>
      </c>
      <c r="D30" s="13" t="s">
        <v>709</v>
      </c>
      <c r="E30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B19:I19"/>
    <mergeCell ref="A21:A22"/>
    <mergeCell ref="C21:C22"/>
    <mergeCell ref="D21:D22"/>
    <mergeCell ref="E21:E22"/>
  </mergeCells>
  <conditionalFormatting sqref="E23:E30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712</v>
      </c>
    </row>
    <row r="2" spans="1:9">
      <c r="H2" s="17" t="s">
        <v>224</v>
      </c>
      <c r="I2" s="17" t="s">
        <v>308</v>
      </c>
    </row>
    <row r="3" spans="1:9">
      <c r="A3" s="12" t="s">
        <v>58</v>
      </c>
      <c r="B3" s="33" t="s">
        <v>713</v>
      </c>
      <c r="C3" s="33"/>
      <c r="D3" s="12" t="s">
        <v>60</v>
      </c>
      <c r="E3" s="14" t="s">
        <v>154</v>
      </c>
      <c r="H3" s="17" t="s">
        <v>228</v>
      </c>
      <c r="I3" s="17" t="s">
        <v>86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714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715</v>
      </c>
    </row>
    <row r="6" spans="1:9" ht="46.5">
      <c r="A6" s="12" t="s">
        <v>68</v>
      </c>
      <c r="B6" s="33" t="s">
        <v>716</v>
      </c>
      <c r="C6" s="33"/>
      <c r="D6" s="33"/>
      <c r="E6" s="33"/>
      <c r="H6" s="17" t="s">
        <v>238</v>
      </c>
      <c r="I6" s="17" t="s">
        <v>717</v>
      </c>
    </row>
    <row r="7" spans="1:9" ht="46.5">
      <c r="A7" s="12" t="s">
        <v>70</v>
      </c>
      <c r="B7" s="33" t="s">
        <v>718</v>
      </c>
      <c r="C7" s="33"/>
      <c r="D7" s="33"/>
      <c r="E7" s="33"/>
      <c r="H7" s="17" t="s">
        <v>244</v>
      </c>
      <c r="I7" s="17" t="s">
        <v>719</v>
      </c>
    </row>
    <row r="8" spans="1:9">
      <c r="A8" s="34" t="s">
        <v>720</v>
      </c>
      <c r="B8" s="34"/>
      <c r="C8" s="34"/>
      <c r="D8" s="34"/>
      <c r="E8" s="34"/>
    </row>
    <row r="10" spans="1:9">
      <c r="A10" s="32" t="s">
        <v>72</v>
      </c>
      <c r="B10" s="15" t="s">
        <v>73</v>
      </c>
      <c r="C10" s="32" t="s">
        <v>74</v>
      </c>
      <c r="D10" s="32" t="s">
        <v>75</v>
      </c>
      <c r="E10" s="32" t="s">
        <v>76</v>
      </c>
    </row>
    <row r="11" spans="1:9" ht="46.5">
      <c r="A11" s="32"/>
      <c r="B11" s="15" t="s">
        <v>712</v>
      </c>
      <c r="C11" s="32"/>
      <c r="D11" s="32"/>
      <c r="E11" s="32"/>
    </row>
    <row r="12" spans="1:9" ht="46.5">
      <c r="A12" s="16" t="s">
        <v>721</v>
      </c>
      <c r="B12" s="13" t="s">
        <v>308</v>
      </c>
      <c r="C12" s="13" t="s">
        <v>722</v>
      </c>
      <c r="D12" s="13"/>
      <c r="E12" s="17" t="s">
        <v>5</v>
      </c>
    </row>
    <row r="13" spans="1:9" ht="46.5">
      <c r="A13" s="16" t="s">
        <v>723</v>
      </c>
      <c r="B13" s="13" t="s">
        <v>86</v>
      </c>
      <c r="C13" s="13" t="s">
        <v>724</v>
      </c>
      <c r="D13" s="13"/>
      <c r="E13" s="17" t="s">
        <v>5</v>
      </c>
    </row>
    <row r="14" spans="1:9">
      <c r="A14" s="16" t="s">
        <v>725</v>
      </c>
      <c r="B14" s="13" t="s">
        <v>714</v>
      </c>
      <c r="C14" s="13" t="s">
        <v>726</v>
      </c>
      <c r="D14" s="13" t="s">
        <v>726</v>
      </c>
      <c r="E14" s="17" t="s">
        <v>5</v>
      </c>
    </row>
    <row r="15" spans="1:9" ht="46.5">
      <c r="A15" s="16" t="s">
        <v>727</v>
      </c>
      <c r="B15" s="13" t="s">
        <v>715</v>
      </c>
      <c r="C15" s="13" t="s">
        <v>728</v>
      </c>
      <c r="D15" s="13" t="s">
        <v>740</v>
      </c>
      <c r="E15" s="17" t="s">
        <v>5</v>
      </c>
    </row>
    <row r="16" spans="1:9">
      <c r="A16" s="16" t="s">
        <v>729</v>
      </c>
      <c r="B16" s="13" t="s">
        <v>717</v>
      </c>
      <c r="C16" s="13" t="s">
        <v>730</v>
      </c>
      <c r="D16" s="13" t="s">
        <v>739</v>
      </c>
      <c r="E16" s="17" t="s">
        <v>5</v>
      </c>
    </row>
    <row r="17" spans="1:5">
      <c r="A17" s="16" t="s">
        <v>731</v>
      </c>
      <c r="B17" s="13" t="s">
        <v>732</v>
      </c>
      <c r="C17" s="13" t="s">
        <v>741</v>
      </c>
      <c r="D17" s="13" t="s">
        <v>739</v>
      </c>
      <c r="E17" s="17" t="s">
        <v>5</v>
      </c>
    </row>
    <row r="18" spans="1:5">
      <c r="A18" s="16" t="s">
        <v>733</v>
      </c>
      <c r="B18" s="13" t="s">
        <v>719</v>
      </c>
      <c r="C18" s="13" t="s">
        <v>734</v>
      </c>
      <c r="D18" s="13" t="s">
        <v>737</v>
      </c>
      <c r="E18" s="17" t="s">
        <v>5</v>
      </c>
    </row>
    <row r="19" spans="1:5" ht="46.5">
      <c r="A19" s="16" t="s">
        <v>735</v>
      </c>
      <c r="B19" s="13" t="s">
        <v>736</v>
      </c>
      <c r="C19" s="13" t="s">
        <v>737</v>
      </c>
      <c r="D19" s="13" t="s">
        <v>738</v>
      </c>
      <c r="E19" s="17" t="s">
        <v>6</v>
      </c>
    </row>
  </sheetData>
  <mergeCells count="11">
    <mergeCell ref="A8:E8"/>
    <mergeCell ref="A10:A11"/>
    <mergeCell ref="C10:C11"/>
    <mergeCell ref="D10:D11"/>
    <mergeCell ref="E10:E11"/>
    <mergeCell ref="A1:E1"/>
    <mergeCell ref="B3:C3"/>
    <mergeCell ref="B4:C4"/>
    <mergeCell ref="B5:C5"/>
    <mergeCell ref="B6:E6"/>
    <mergeCell ref="B7:E7"/>
  </mergeCells>
  <conditionalFormatting sqref="E12:E19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748</v>
      </c>
      <c r="C4" s="30"/>
      <c r="E4" s="11" t="s">
        <v>21</v>
      </c>
      <c r="F4" s="30" t="s">
        <v>38</v>
      </c>
      <c r="G4" s="30"/>
      <c r="H4" s="30"/>
      <c r="I4" s="30"/>
    </row>
    <row r="5" spans="1:9" ht="24" thickBot="1">
      <c r="A5" s="11" t="s">
        <v>23</v>
      </c>
      <c r="B5" s="30" t="s">
        <v>749</v>
      </c>
      <c r="C5" s="30"/>
      <c r="E5" s="11" t="s">
        <v>25</v>
      </c>
      <c r="F5" s="30" t="s">
        <v>750</v>
      </c>
      <c r="G5" s="30"/>
      <c r="H5" s="30"/>
      <c r="I5" s="30"/>
    </row>
    <row r="6" spans="1:9" ht="24" thickBot="1">
      <c r="A6" s="11" t="s">
        <v>27</v>
      </c>
      <c r="B6" s="30" t="s">
        <v>751</v>
      </c>
      <c r="C6" s="30"/>
      <c r="E6" s="11" t="s">
        <v>29</v>
      </c>
      <c r="F6" s="30" t="s">
        <v>752</v>
      </c>
      <c r="G6" s="30"/>
      <c r="H6" s="30"/>
      <c r="I6" s="30"/>
    </row>
    <row r="7" spans="1:9" ht="24" thickBot="1">
      <c r="A7" s="11" t="s">
        <v>31</v>
      </c>
      <c r="B7" s="30" t="s">
        <v>753</v>
      </c>
      <c r="C7" s="30"/>
    </row>
    <row r="8" spans="1:9" ht="24" thickBot="1">
      <c r="A8" s="11" t="s">
        <v>35</v>
      </c>
      <c r="B8" s="30" t="s">
        <v>754</v>
      </c>
      <c r="C8" s="30"/>
    </row>
    <row r="9" spans="1:9" ht="24" thickBot="1">
      <c r="A9" s="11" t="s">
        <v>39</v>
      </c>
      <c r="B9" s="30" t="s">
        <v>755</v>
      </c>
      <c r="C9" s="30"/>
    </row>
    <row r="10" spans="1:9" ht="24" thickBot="1">
      <c r="A10" s="11" t="s">
        <v>685</v>
      </c>
      <c r="B10" s="30" t="s">
        <v>756</v>
      </c>
      <c r="C10" s="30"/>
    </row>
    <row r="11" spans="1:9" ht="24" thickBot="1">
      <c r="A11" s="11" t="s">
        <v>686</v>
      </c>
      <c r="B11" s="30" t="s">
        <v>757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758</v>
      </c>
      <c r="C15" s="33"/>
      <c r="D15" s="33"/>
      <c r="E15" s="33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62</v>
      </c>
      <c r="C16" s="33"/>
      <c r="D16" s="33"/>
      <c r="E16" s="33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33"/>
      <c r="E17" s="33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759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760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32" t="s">
        <v>73</v>
      </c>
      <c r="C21" s="32"/>
      <c r="D21" s="32"/>
      <c r="E21" s="32" t="s">
        <v>74</v>
      </c>
      <c r="F21" s="32" t="s">
        <v>75</v>
      </c>
      <c r="G21" s="32" t="s">
        <v>76</v>
      </c>
    </row>
    <row r="22" spans="1:9" ht="46.5">
      <c r="A22" s="32"/>
      <c r="B22" s="15" t="s">
        <v>761</v>
      </c>
      <c r="C22" s="15" t="s">
        <v>79</v>
      </c>
      <c r="D22" s="15" t="s">
        <v>161</v>
      </c>
      <c r="E22" s="32"/>
      <c r="F22" s="32"/>
      <c r="G22" s="32"/>
    </row>
    <row r="23" spans="1:9" ht="97.5" customHeight="1">
      <c r="A23" s="16" t="s">
        <v>762</v>
      </c>
      <c r="B23" s="13" t="s">
        <v>763</v>
      </c>
      <c r="C23" s="13" t="s">
        <v>86</v>
      </c>
      <c r="D23" s="13" t="s">
        <v>764</v>
      </c>
      <c r="E23" s="13" t="s">
        <v>765</v>
      </c>
      <c r="F23" s="13" t="s">
        <v>790</v>
      </c>
      <c r="G23" s="17" t="s">
        <v>5</v>
      </c>
    </row>
    <row r="24" spans="1:9" ht="46.5">
      <c r="A24" s="16" t="s">
        <v>766</v>
      </c>
      <c r="B24" s="13" t="s">
        <v>93</v>
      </c>
      <c r="C24" s="13" t="s">
        <v>86</v>
      </c>
      <c r="D24" s="13" t="s">
        <v>767</v>
      </c>
      <c r="E24" s="13" t="s">
        <v>768</v>
      </c>
      <c r="F24" s="13" t="s">
        <v>788</v>
      </c>
      <c r="G24" s="17" t="s">
        <v>5</v>
      </c>
    </row>
    <row r="25" spans="1:9" ht="69.75">
      <c r="A25" s="16" t="s">
        <v>769</v>
      </c>
      <c r="B25" s="13" t="s">
        <v>763</v>
      </c>
      <c r="C25" s="13" t="s">
        <v>86</v>
      </c>
      <c r="D25" s="13" t="s">
        <v>770</v>
      </c>
      <c r="E25" s="13" t="s">
        <v>771</v>
      </c>
      <c r="F25" s="13" t="s">
        <v>740</v>
      </c>
      <c r="G25" s="17" t="s">
        <v>5</v>
      </c>
    </row>
    <row r="26" spans="1:9" ht="46.5">
      <c r="A26" s="16" t="s">
        <v>772</v>
      </c>
      <c r="B26" s="13" t="s">
        <v>763</v>
      </c>
      <c r="C26" s="13" t="s">
        <v>86</v>
      </c>
      <c r="D26" s="13" t="s">
        <v>773</v>
      </c>
      <c r="E26" s="13" t="s">
        <v>774</v>
      </c>
      <c r="F26" s="13" t="s">
        <v>789</v>
      </c>
      <c r="G26" s="17" t="s">
        <v>5</v>
      </c>
    </row>
    <row r="27" spans="1:9" ht="116.25">
      <c r="A27" s="16" t="s">
        <v>775</v>
      </c>
      <c r="B27" s="13" t="s">
        <v>763</v>
      </c>
      <c r="C27" s="13" t="s">
        <v>86</v>
      </c>
      <c r="D27" s="13" t="s">
        <v>776</v>
      </c>
      <c r="E27" s="13" t="s">
        <v>777</v>
      </c>
      <c r="F27" s="13" t="s">
        <v>791</v>
      </c>
      <c r="G27" s="17" t="s">
        <v>5</v>
      </c>
    </row>
    <row r="28" spans="1:9" ht="116.25">
      <c r="A28" s="16" t="s">
        <v>778</v>
      </c>
      <c r="B28" s="13" t="s">
        <v>763</v>
      </c>
      <c r="C28" s="13" t="s">
        <v>86</v>
      </c>
      <c r="D28" s="13" t="s">
        <v>779</v>
      </c>
      <c r="E28" s="13" t="s">
        <v>793</v>
      </c>
      <c r="F28" s="13" t="s">
        <v>794</v>
      </c>
      <c r="G28" s="17" t="s">
        <v>6</v>
      </c>
    </row>
    <row r="29" spans="1:9">
      <c r="A29" s="16" t="s">
        <v>780</v>
      </c>
      <c r="B29" s="13" t="s">
        <v>763</v>
      </c>
      <c r="C29" s="13" t="s">
        <v>104</v>
      </c>
      <c r="D29" s="13" t="s">
        <v>85</v>
      </c>
      <c r="E29" s="13" t="s">
        <v>781</v>
      </c>
      <c r="F29" s="13" t="s">
        <v>99</v>
      </c>
      <c r="G29" s="17" t="s">
        <v>5</v>
      </c>
    </row>
    <row r="30" spans="1:9" ht="46.5">
      <c r="A30" s="16" t="s">
        <v>782</v>
      </c>
      <c r="B30" s="13" t="s">
        <v>763</v>
      </c>
      <c r="C30" s="13" t="s">
        <v>107</v>
      </c>
      <c r="D30" s="13" t="s">
        <v>783</v>
      </c>
      <c r="E30" s="13" t="s">
        <v>784</v>
      </c>
      <c r="F30" s="13" t="s">
        <v>102</v>
      </c>
      <c r="G30" s="17" t="s">
        <v>5</v>
      </c>
    </row>
    <row r="31" spans="1:9" ht="93">
      <c r="A31" s="16" t="s">
        <v>785</v>
      </c>
      <c r="B31" s="13" t="s">
        <v>763</v>
      </c>
      <c r="C31" s="13" t="s">
        <v>86</v>
      </c>
      <c r="D31" s="13" t="s">
        <v>786</v>
      </c>
      <c r="E31" s="13" t="s">
        <v>787</v>
      </c>
      <c r="F31" s="13" t="s">
        <v>792</v>
      </c>
      <c r="G31" s="17" t="s">
        <v>5</v>
      </c>
    </row>
  </sheetData>
  <mergeCells count="26">
    <mergeCell ref="B17:E17"/>
    <mergeCell ref="B18:I18"/>
    <mergeCell ref="B19:I19"/>
    <mergeCell ref="A21:A22"/>
    <mergeCell ref="B21:D21"/>
    <mergeCell ref="E21:E22"/>
    <mergeCell ref="F21:F22"/>
    <mergeCell ref="G21:G22"/>
    <mergeCell ref="B9:C9"/>
    <mergeCell ref="B10:C10"/>
    <mergeCell ref="B11:C11"/>
    <mergeCell ref="A13:I13"/>
    <mergeCell ref="B15:E15"/>
    <mergeCell ref="B16:E16"/>
    <mergeCell ref="B5:C5"/>
    <mergeCell ref="F5:I5"/>
    <mergeCell ref="B6:C6"/>
    <mergeCell ref="F6:I6"/>
    <mergeCell ref="B7:C7"/>
    <mergeCell ref="B8:C8"/>
    <mergeCell ref="A1:I1"/>
    <mergeCell ref="E2:F2"/>
    <mergeCell ref="B3:C3"/>
    <mergeCell ref="F3:I3"/>
    <mergeCell ref="B4:C4"/>
    <mergeCell ref="F4:I4"/>
  </mergeCells>
  <conditionalFormatting sqref="G23:G31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795</v>
      </c>
      <c r="C4" s="30"/>
      <c r="E4" s="11" t="s">
        <v>85</v>
      </c>
      <c r="F4" s="30" t="s">
        <v>796</v>
      </c>
      <c r="G4" s="30"/>
      <c r="H4" s="30"/>
      <c r="I4" s="30"/>
    </row>
    <row r="5" spans="1:9" ht="24" thickBot="1">
      <c r="A5" s="11" t="s">
        <v>23</v>
      </c>
      <c r="B5" s="30" t="s">
        <v>797</v>
      </c>
      <c r="C5" s="30"/>
    </row>
    <row r="6" spans="1:9" ht="24" thickBot="1">
      <c r="A6" s="11" t="s">
        <v>27</v>
      </c>
      <c r="B6" s="30" t="s">
        <v>798</v>
      </c>
      <c r="C6" s="30"/>
    </row>
    <row r="7" spans="1:9" ht="24" thickBot="1">
      <c r="A7" s="11" t="s">
        <v>31</v>
      </c>
      <c r="B7" s="30" t="s">
        <v>799</v>
      </c>
      <c r="C7" s="30"/>
    </row>
    <row r="8" spans="1:9" ht="24" thickBot="1">
      <c r="A8" s="11" t="s">
        <v>35</v>
      </c>
      <c r="B8" s="30" t="s">
        <v>800</v>
      </c>
      <c r="C8" s="30"/>
    </row>
    <row r="9" spans="1:9" ht="24" thickBot="1">
      <c r="A9" s="11" t="s">
        <v>39</v>
      </c>
      <c r="B9" s="30" t="s">
        <v>801</v>
      </c>
      <c r="C9" s="30"/>
    </row>
    <row r="10" spans="1:9" ht="24" thickBot="1">
      <c r="A10" s="11" t="s">
        <v>685</v>
      </c>
      <c r="B10" s="30" t="s">
        <v>802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46.5">
      <c r="A14" s="12" t="s">
        <v>58</v>
      </c>
      <c r="B14" s="33" t="s">
        <v>803</v>
      </c>
      <c r="C14" s="33"/>
      <c r="D14" s="33"/>
      <c r="E14" s="21"/>
      <c r="F14" s="21"/>
      <c r="G14" s="21"/>
      <c r="H14" s="12" t="s">
        <v>60</v>
      </c>
      <c r="I14" s="14" t="s">
        <v>154</v>
      </c>
    </row>
    <row r="15" spans="1:9">
      <c r="A15" s="12" t="s">
        <v>61</v>
      </c>
      <c r="B15" s="33" t="s">
        <v>804</v>
      </c>
      <c r="C15" s="33"/>
      <c r="D15" s="33"/>
      <c r="E15" s="21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21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805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832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 t="s">
        <v>74</v>
      </c>
      <c r="E20" s="32" t="s">
        <v>75</v>
      </c>
      <c r="F20" s="32" t="s">
        <v>76</v>
      </c>
    </row>
    <row r="21" spans="1:9">
      <c r="A21" s="32"/>
      <c r="B21" s="15" t="s">
        <v>806</v>
      </c>
      <c r="C21" s="15" t="s">
        <v>807</v>
      </c>
      <c r="D21" s="32"/>
      <c r="E21" s="32"/>
      <c r="F21" s="32"/>
    </row>
    <row r="22" spans="1:9" ht="116.25">
      <c r="A22" s="16" t="s">
        <v>808</v>
      </c>
      <c r="B22" s="13" t="s">
        <v>809</v>
      </c>
      <c r="C22" s="13" t="s">
        <v>810</v>
      </c>
      <c r="D22" s="13" t="s">
        <v>811</v>
      </c>
      <c r="E22" s="13" t="s">
        <v>838</v>
      </c>
      <c r="F22" s="17" t="s">
        <v>5</v>
      </c>
    </row>
    <row r="23" spans="1:9" ht="99" customHeight="1">
      <c r="A23" s="16" t="s">
        <v>812</v>
      </c>
      <c r="B23" s="13" t="s">
        <v>813</v>
      </c>
      <c r="C23" s="13" t="s">
        <v>810</v>
      </c>
      <c r="D23" s="13" t="s">
        <v>814</v>
      </c>
      <c r="E23" s="13" t="s">
        <v>837</v>
      </c>
      <c r="F23" s="17" t="s">
        <v>5</v>
      </c>
    </row>
    <row r="24" spans="1:9" ht="53.25" customHeight="1">
      <c r="A24" s="16" t="s">
        <v>815</v>
      </c>
      <c r="B24" s="13" t="s">
        <v>809</v>
      </c>
      <c r="C24" s="13" t="s">
        <v>797</v>
      </c>
      <c r="D24" s="13" t="s">
        <v>816</v>
      </c>
      <c r="E24" s="13" t="s">
        <v>836</v>
      </c>
      <c r="F24" s="17" t="s">
        <v>5</v>
      </c>
    </row>
    <row r="25" spans="1:9" ht="69.75">
      <c r="A25" s="16" t="s">
        <v>817</v>
      </c>
      <c r="B25" s="13" t="s">
        <v>809</v>
      </c>
      <c r="C25" s="13" t="s">
        <v>818</v>
      </c>
      <c r="D25" s="13" t="s">
        <v>819</v>
      </c>
      <c r="E25" s="13" t="s">
        <v>835</v>
      </c>
      <c r="F25" s="17" t="s">
        <v>5</v>
      </c>
    </row>
    <row r="26" spans="1:9" ht="46.5">
      <c r="A26" s="16" t="s">
        <v>820</v>
      </c>
      <c r="B26" s="13" t="s">
        <v>813</v>
      </c>
      <c r="C26" s="13" t="s">
        <v>799</v>
      </c>
      <c r="D26" s="13" t="s">
        <v>821</v>
      </c>
      <c r="E26" s="13" t="s">
        <v>799</v>
      </c>
      <c r="F26" s="17" t="s">
        <v>5</v>
      </c>
    </row>
    <row r="27" spans="1:9" ht="55.5" customHeight="1">
      <c r="A27" s="16" t="s">
        <v>822</v>
      </c>
      <c r="B27" s="13" t="s">
        <v>809</v>
      </c>
      <c r="C27" s="13" t="s">
        <v>823</v>
      </c>
      <c r="D27" s="13" t="s">
        <v>824</v>
      </c>
      <c r="E27" s="13" t="s">
        <v>834</v>
      </c>
      <c r="F27" s="17" t="s">
        <v>5</v>
      </c>
    </row>
    <row r="28" spans="1:9" ht="93">
      <c r="A28" s="16" t="s">
        <v>825</v>
      </c>
      <c r="B28" s="13" t="s">
        <v>826</v>
      </c>
      <c r="C28" s="13" t="s">
        <v>93</v>
      </c>
      <c r="D28" s="13" t="s">
        <v>827</v>
      </c>
      <c r="E28" s="13" t="s">
        <v>93</v>
      </c>
      <c r="F28" s="17" t="s">
        <v>5</v>
      </c>
    </row>
    <row r="29" spans="1:9" ht="93">
      <c r="A29" s="16" t="s">
        <v>828</v>
      </c>
      <c r="B29" s="13" t="s">
        <v>829</v>
      </c>
      <c r="C29" s="13" t="s">
        <v>830</v>
      </c>
      <c r="D29" s="13" t="s">
        <v>831</v>
      </c>
      <c r="E29" s="13" t="s">
        <v>833</v>
      </c>
      <c r="F29" s="17" t="s">
        <v>5</v>
      </c>
    </row>
  </sheetData>
  <mergeCells count="23">
    <mergeCell ref="B18:I18"/>
    <mergeCell ref="A20:A21"/>
    <mergeCell ref="B20:C20"/>
    <mergeCell ref="D20:D21"/>
    <mergeCell ref="E20:E21"/>
    <mergeCell ref="F20:F21"/>
    <mergeCell ref="A12:I12"/>
    <mergeCell ref="B14:D14"/>
    <mergeCell ref="B15:D15"/>
    <mergeCell ref="B16:D16"/>
    <mergeCell ref="B17:I17"/>
    <mergeCell ref="B5:C5"/>
    <mergeCell ref="B6:C6"/>
    <mergeCell ref="B7:C7"/>
    <mergeCell ref="B8:C8"/>
    <mergeCell ref="B9:C9"/>
    <mergeCell ref="B10:C10"/>
    <mergeCell ref="A1:I1"/>
    <mergeCell ref="E2:F2"/>
    <mergeCell ref="B3:C3"/>
    <mergeCell ref="F3:I3"/>
    <mergeCell ref="B4:C4"/>
    <mergeCell ref="F4:I4"/>
  </mergeCells>
  <conditionalFormatting sqref="F22:F29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abSelected="1" topLeftCell="A11" workbookViewId="0">
      <selection activeCell="J35" sqref="J35"/>
    </sheetView>
  </sheetViews>
  <sheetFormatPr defaultColWidth="7.625" defaultRowHeight="23.2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849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>
      <c r="A3" s="13" t="s">
        <v>850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>
      <c r="A4" s="13" t="s">
        <v>851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>
      <c r="A5" s="13" t="s">
        <v>852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>
      <c r="A6" s="13" t="s">
        <v>853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>
      <c r="A7" s="13" t="s">
        <v>854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>
      <c r="A8" s="13" t="s">
        <v>855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856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857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>
      <c r="A12" s="13" t="s">
        <v>858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>
      <c r="A13" s="13" t="s">
        <v>859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860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>
      <c r="A15" s="13" t="s">
        <v>861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>
      <c r="A16" s="13" t="s">
        <v>862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>
      <c r="A21" s="12" t="s">
        <v>58</v>
      </c>
      <c r="B21" s="33" t="s">
        <v>863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>
      <c r="A23" s="12" t="s">
        <v>64</v>
      </c>
      <c r="B23" s="33" t="s">
        <v>65</v>
      </c>
      <c r="C23" s="33"/>
      <c r="D23" s="33"/>
      <c r="E23" s="33"/>
      <c r="F23" s="33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864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865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392</v>
      </c>
      <c r="D28" s="15" t="s">
        <v>866</v>
      </c>
      <c r="E28" s="15" t="s">
        <v>161</v>
      </c>
      <c r="F28" s="32"/>
      <c r="G28" s="32"/>
      <c r="H28" s="32"/>
    </row>
    <row r="29" spans="1:9" ht="46.5">
      <c r="A29" s="17" t="s">
        <v>162</v>
      </c>
      <c r="B29" s="16" t="s">
        <v>867</v>
      </c>
      <c r="C29" s="13" t="s">
        <v>93</v>
      </c>
      <c r="D29" s="13" t="s">
        <v>868</v>
      </c>
      <c r="E29" s="13" t="s">
        <v>85</v>
      </c>
      <c r="F29" s="13" t="s">
        <v>869</v>
      </c>
      <c r="G29" s="13" t="s">
        <v>102</v>
      </c>
      <c r="H29" s="17" t="s">
        <v>5</v>
      </c>
    </row>
    <row r="30" spans="1:9" ht="46.5">
      <c r="A30" s="17" t="s">
        <v>167</v>
      </c>
      <c r="B30" s="16" t="s">
        <v>870</v>
      </c>
      <c r="C30" s="13" t="s">
        <v>396</v>
      </c>
      <c r="D30" s="13" t="s">
        <v>93</v>
      </c>
      <c r="E30" s="13" t="s">
        <v>85</v>
      </c>
      <c r="F30" s="13" t="s">
        <v>871</v>
      </c>
      <c r="G30" s="13" t="s">
        <v>102</v>
      </c>
      <c r="H30" s="17" t="s">
        <v>5</v>
      </c>
    </row>
    <row r="31" spans="1:9">
      <c r="A31" s="17" t="s">
        <v>171</v>
      </c>
      <c r="B31" s="16" t="s">
        <v>872</v>
      </c>
      <c r="C31" s="13" t="s">
        <v>104</v>
      </c>
      <c r="D31" s="13" t="s">
        <v>868</v>
      </c>
      <c r="E31" s="13" t="s">
        <v>873</v>
      </c>
      <c r="F31" s="13" t="s">
        <v>99</v>
      </c>
      <c r="G31" s="13" t="s">
        <v>1111</v>
      </c>
      <c r="H31" s="17" t="s">
        <v>5</v>
      </c>
    </row>
    <row r="32" spans="1:9" ht="69.75">
      <c r="A32" s="17" t="s">
        <v>175</v>
      </c>
      <c r="B32" s="16" t="s">
        <v>874</v>
      </c>
      <c r="C32" s="13" t="s">
        <v>396</v>
      </c>
      <c r="D32" s="13" t="s">
        <v>875</v>
      </c>
      <c r="E32" s="13" t="s">
        <v>876</v>
      </c>
      <c r="F32" s="13" t="s">
        <v>877</v>
      </c>
      <c r="G32" s="13" t="s">
        <v>201</v>
      </c>
      <c r="H32" s="17" t="s">
        <v>5</v>
      </c>
    </row>
    <row r="33" spans="1:8" ht="46.5">
      <c r="A33" s="17" t="s">
        <v>183</v>
      </c>
      <c r="B33" s="16" t="s">
        <v>878</v>
      </c>
      <c r="C33" s="13" t="s">
        <v>396</v>
      </c>
      <c r="D33" s="13" t="s">
        <v>868</v>
      </c>
      <c r="E33" s="13" t="s">
        <v>879</v>
      </c>
      <c r="F33" s="13" t="s">
        <v>880</v>
      </c>
      <c r="G33" s="13" t="s">
        <v>102</v>
      </c>
      <c r="H33" s="17" t="s">
        <v>5</v>
      </c>
    </row>
    <row r="34" spans="1:8" ht="69.75">
      <c r="A34" s="17" t="s">
        <v>188</v>
      </c>
      <c r="B34" s="16" t="s">
        <v>881</v>
      </c>
      <c r="C34" s="13" t="s">
        <v>396</v>
      </c>
      <c r="D34" s="13" t="s">
        <v>882</v>
      </c>
      <c r="E34" s="13" t="s">
        <v>883</v>
      </c>
      <c r="F34" s="13" t="s">
        <v>884</v>
      </c>
      <c r="G34" s="13" t="s">
        <v>1112</v>
      </c>
      <c r="H34" s="17" t="s">
        <v>5</v>
      </c>
    </row>
    <row r="35" spans="1:8" ht="93">
      <c r="A35" s="17" t="s">
        <v>193</v>
      </c>
      <c r="B35" s="16" t="s">
        <v>885</v>
      </c>
      <c r="C35" s="13" t="s">
        <v>396</v>
      </c>
      <c r="D35" s="13" t="s">
        <v>868</v>
      </c>
      <c r="E35" s="13" t="s">
        <v>886</v>
      </c>
      <c r="F35" s="13" t="s">
        <v>887</v>
      </c>
      <c r="G35" s="13" t="s">
        <v>1113</v>
      </c>
      <c r="H35" s="17" t="s">
        <v>5</v>
      </c>
    </row>
    <row r="36" spans="1:8" ht="69.75">
      <c r="A36" s="17" t="s">
        <v>197</v>
      </c>
      <c r="B36" s="16" t="s">
        <v>888</v>
      </c>
      <c r="C36" s="13" t="s">
        <v>396</v>
      </c>
      <c r="D36" s="13" t="s">
        <v>868</v>
      </c>
      <c r="E36" s="13" t="s">
        <v>889</v>
      </c>
      <c r="F36" s="13" t="s">
        <v>890</v>
      </c>
      <c r="G36" s="13" t="s">
        <v>1114</v>
      </c>
      <c r="H36" s="17" t="s">
        <v>5</v>
      </c>
    </row>
  </sheetData>
  <mergeCells count="12">
    <mergeCell ref="B25:I25"/>
    <mergeCell ref="A27:A28"/>
    <mergeCell ref="B27:B28"/>
    <mergeCell ref="C27:E27"/>
    <mergeCell ref="F27:F28"/>
    <mergeCell ref="G27:G28"/>
    <mergeCell ref="H27:H28"/>
    <mergeCell ref="A19:I19"/>
    <mergeCell ref="B21:F21"/>
    <mergeCell ref="B22:F22"/>
    <mergeCell ref="B23:F23"/>
    <mergeCell ref="B24:I24"/>
  </mergeCells>
  <conditionalFormatting sqref="H29:H36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18" workbookViewId="0">
      <selection activeCell="H30" sqref="H30"/>
    </sheetView>
  </sheetViews>
  <sheetFormatPr defaultColWidth="7.625" defaultRowHeight="23.2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891</v>
      </c>
      <c r="C4" s="30"/>
      <c r="E4" s="11" t="s">
        <v>21</v>
      </c>
      <c r="F4" s="30" t="s">
        <v>892</v>
      </c>
      <c r="G4" s="30"/>
      <c r="H4" s="30"/>
      <c r="I4" s="30"/>
    </row>
    <row r="5" spans="1:9" ht="24" thickBot="1">
      <c r="A5" s="11" t="s">
        <v>23</v>
      </c>
      <c r="B5" s="30" t="s">
        <v>893</v>
      </c>
      <c r="C5" s="30"/>
      <c r="E5" s="11" t="s">
        <v>25</v>
      </c>
      <c r="F5" s="30" t="s">
        <v>894</v>
      </c>
      <c r="G5" s="30"/>
      <c r="H5" s="30"/>
      <c r="I5" s="30"/>
    </row>
    <row r="6" spans="1:9" ht="24" thickBot="1">
      <c r="A6" s="11" t="s">
        <v>27</v>
      </c>
      <c r="B6" s="30" t="s">
        <v>895</v>
      </c>
      <c r="C6" s="30"/>
      <c r="E6" s="11" t="s">
        <v>29</v>
      </c>
      <c r="F6" s="30" t="s">
        <v>896</v>
      </c>
      <c r="G6" s="30"/>
      <c r="H6" s="30"/>
      <c r="I6" s="30"/>
    </row>
    <row r="7" spans="1:9" ht="24" thickBot="1">
      <c r="A7" s="11" t="s">
        <v>31</v>
      </c>
      <c r="B7" s="30" t="s">
        <v>897</v>
      </c>
      <c r="C7" s="30"/>
      <c r="E7" s="11" t="s">
        <v>33</v>
      </c>
      <c r="F7" s="30" t="s">
        <v>898</v>
      </c>
      <c r="G7" s="30"/>
      <c r="H7" s="30"/>
      <c r="I7" s="30"/>
    </row>
    <row r="8" spans="1:9" ht="24" thickBot="1">
      <c r="A8" s="11" t="s">
        <v>35</v>
      </c>
      <c r="B8" s="30" t="s">
        <v>899</v>
      </c>
      <c r="C8" s="30"/>
    </row>
    <row r="9" spans="1:9" ht="24" thickBot="1">
      <c r="A9" s="11" t="s">
        <v>39</v>
      </c>
      <c r="B9" s="30" t="s">
        <v>900</v>
      </c>
      <c r="C9" s="30"/>
    </row>
    <row r="10" spans="1:9" ht="24" thickBot="1">
      <c r="A10" s="11" t="s">
        <v>685</v>
      </c>
      <c r="B10" s="30" t="s">
        <v>901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27.75" customHeight="1">
      <c r="A14" s="12" t="s">
        <v>58</v>
      </c>
      <c r="B14" s="33" t="s">
        <v>902</v>
      </c>
      <c r="C14" s="33"/>
      <c r="D14" s="33"/>
      <c r="E14" s="33"/>
      <c r="F14" s="21"/>
      <c r="G14" s="21"/>
      <c r="H14" s="12" t="s">
        <v>60</v>
      </c>
      <c r="I14" s="14" t="s">
        <v>154</v>
      </c>
    </row>
    <row r="15" spans="1:9" ht="26.25" customHeight="1">
      <c r="A15" s="12" t="s">
        <v>61</v>
      </c>
      <c r="B15" s="33" t="s">
        <v>62</v>
      </c>
      <c r="C15" s="33"/>
      <c r="D15" s="33"/>
      <c r="E15" s="33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33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903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1080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/>
      <c r="E20" s="32" t="s">
        <v>74</v>
      </c>
      <c r="F20" s="32" t="s">
        <v>75</v>
      </c>
      <c r="G20" s="32" t="s">
        <v>76</v>
      </c>
    </row>
    <row r="21" spans="1:9" ht="46.5">
      <c r="A21" s="32"/>
      <c r="B21" s="15" t="s">
        <v>904</v>
      </c>
      <c r="C21" s="15" t="s">
        <v>905</v>
      </c>
      <c r="D21" s="15" t="s">
        <v>906</v>
      </c>
      <c r="E21" s="32"/>
      <c r="F21" s="32"/>
      <c r="G21" s="32"/>
    </row>
    <row r="22" spans="1:9" ht="52.5" customHeight="1">
      <c r="A22" s="16" t="s">
        <v>907</v>
      </c>
      <c r="B22" s="13" t="s">
        <v>506</v>
      </c>
      <c r="C22" s="13" t="s">
        <v>908</v>
      </c>
      <c r="D22" s="13" t="s">
        <v>93</v>
      </c>
      <c r="E22" s="13" t="s">
        <v>909</v>
      </c>
      <c r="F22" s="13" t="s">
        <v>1081</v>
      </c>
      <c r="G22" s="17" t="s">
        <v>5</v>
      </c>
    </row>
    <row r="23" spans="1:9">
      <c r="A23" s="16" t="s">
        <v>910</v>
      </c>
      <c r="B23" s="13" t="s">
        <v>506</v>
      </c>
      <c r="C23" s="13" t="s">
        <v>908</v>
      </c>
      <c r="D23" s="13" t="s">
        <v>911</v>
      </c>
      <c r="E23" s="13" t="s">
        <v>912</v>
      </c>
      <c r="F23" s="13" t="s">
        <v>1082</v>
      </c>
      <c r="G23" s="17" t="s">
        <v>5</v>
      </c>
    </row>
    <row r="24" spans="1:9" ht="46.5">
      <c r="A24" s="16" t="s">
        <v>913</v>
      </c>
      <c r="B24" s="13" t="s">
        <v>506</v>
      </c>
      <c r="C24" s="13" t="s">
        <v>908</v>
      </c>
      <c r="D24" s="13" t="s">
        <v>914</v>
      </c>
      <c r="E24" s="13" t="s">
        <v>915</v>
      </c>
      <c r="F24" s="13" t="s">
        <v>1083</v>
      </c>
      <c r="G24" s="17" t="s">
        <v>5</v>
      </c>
    </row>
    <row r="25" spans="1:9">
      <c r="A25" s="16" t="s">
        <v>916</v>
      </c>
      <c r="B25" s="13" t="s">
        <v>506</v>
      </c>
      <c r="C25" s="13" t="s">
        <v>908</v>
      </c>
      <c r="D25" s="13" t="s">
        <v>917</v>
      </c>
      <c r="E25" s="13" t="s">
        <v>918</v>
      </c>
      <c r="F25" s="13" t="s">
        <v>1084</v>
      </c>
      <c r="G25" s="17" t="s">
        <v>5</v>
      </c>
    </row>
    <row r="26" spans="1:9">
      <c r="A26" s="16" t="s">
        <v>919</v>
      </c>
      <c r="B26" s="13" t="s">
        <v>506</v>
      </c>
      <c r="C26" s="13" t="s">
        <v>908</v>
      </c>
      <c r="D26" s="13" t="s">
        <v>920</v>
      </c>
      <c r="E26" s="13" t="s">
        <v>921</v>
      </c>
      <c r="F26" s="13" t="s">
        <v>1086</v>
      </c>
      <c r="G26" s="17" t="s">
        <v>5</v>
      </c>
    </row>
    <row r="27" spans="1:9" ht="46.5">
      <c r="A27" s="16" t="s">
        <v>922</v>
      </c>
      <c r="B27" s="13" t="s">
        <v>506</v>
      </c>
      <c r="C27" s="13" t="s">
        <v>923</v>
      </c>
      <c r="D27" s="13" t="s">
        <v>914</v>
      </c>
      <c r="E27" s="13" t="s">
        <v>924</v>
      </c>
      <c r="F27" s="13" t="s">
        <v>1085</v>
      </c>
      <c r="G27" s="17" t="s">
        <v>5</v>
      </c>
    </row>
    <row r="28" spans="1:9" ht="52.5" customHeight="1">
      <c r="A28" s="16" t="s">
        <v>925</v>
      </c>
      <c r="B28" s="13" t="s">
        <v>505</v>
      </c>
      <c r="C28" s="13" t="s">
        <v>908</v>
      </c>
      <c r="D28" s="13" t="s">
        <v>93</v>
      </c>
      <c r="E28" s="13" t="s">
        <v>1087</v>
      </c>
      <c r="F28" s="13" t="s">
        <v>1093</v>
      </c>
      <c r="G28" s="17" t="s">
        <v>5</v>
      </c>
    </row>
    <row r="29" spans="1:9" ht="46.5">
      <c r="A29" s="16" t="s">
        <v>926</v>
      </c>
      <c r="B29" s="13" t="s">
        <v>508</v>
      </c>
      <c r="C29" s="13" t="s">
        <v>908</v>
      </c>
      <c r="D29" s="13" t="s">
        <v>93</v>
      </c>
      <c r="E29" s="13" t="s">
        <v>1088</v>
      </c>
      <c r="F29" s="13" t="s">
        <v>1092</v>
      </c>
      <c r="G29" s="17" t="s">
        <v>5</v>
      </c>
    </row>
    <row r="30" spans="1:9">
      <c r="A30" s="16" t="s">
        <v>927</v>
      </c>
      <c r="B30" s="13" t="s">
        <v>507</v>
      </c>
      <c r="C30" s="13" t="s">
        <v>908</v>
      </c>
      <c r="D30" s="13" t="s">
        <v>93</v>
      </c>
      <c r="E30" s="13" t="s">
        <v>1089</v>
      </c>
      <c r="F30" s="13" t="s">
        <v>1094</v>
      </c>
      <c r="G30" s="17" t="s">
        <v>6</v>
      </c>
    </row>
    <row r="31" spans="1:9">
      <c r="A31" s="16" t="s">
        <v>928</v>
      </c>
      <c r="B31" s="13" t="s">
        <v>411</v>
      </c>
      <c r="C31" s="13" t="s">
        <v>908</v>
      </c>
      <c r="D31" s="13" t="s">
        <v>93</v>
      </c>
      <c r="E31" s="13" t="s">
        <v>1090</v>
      </c>
      <c r="F31" s="13" t="s">
        <v>672</v>
      </c>
      <c r="G31" s="17" t="s">
        <v>6</v>
      </c>
    </row>
    <row r="32" spans="1:9">
      <c r="A32" s="16" t="s">
        <v>929</v>
      </c>
      <c r="B32" s="13" t="s">
        <v>509</v>
      </c>
      <c r="C32" s="13" t="s">
        <v>908</v>
      </c>
      <c r="D32" s="13" t="s">
        <v>93</v>
      </c>
      <c r="E32" s="13" t="s">
        <v>1091</v>
      </c>
      <c r="F32" s="13" t="s">
        <v>672</v>
      </c>
      <c r="G32" s="17" t="s">
        <v>6</v>
      </c>
    </row>
  </sheetData>
  <mergeCells count="26">
    <mergeCell ref="B16:E16"/>
    <mergeCell ref="B17:I17"/>
    <mergeCell ref="B18:I18"/>
    <mergeCell ref="A20:A21"/>
    <mergeCell ref="B20:D20"/>
    <mergeCell ref="E20:E21"/>
    <mergeCell ref="F20:F21"/>
    <mergeCell ref="G20:G21"/>
    <mergeCell ref="B8:C8"/>
    <mergeCell ref="B9:C9"/>
    <mergeCell ref="B10:C10"/>
    <mergeCell ref="A12:I12"/>
    <mergeCell ref="B14:E14"/>
    <mergeCell ref="B15:E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G22:G32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>
      <c r="A1" s="31" t="s">
        <v>57</v>
      </c>
      <c r="B1" s="31"/>
      <c r="C1" s="31"/>
      <c r="D1" s="31"/>
      <c r="E1" s="31"/>
      <c r="F1" s="31"/>
      <c r="I1" s="13"/>
      <c r="J1" s="15" t="s">
        <v>930</v>
      </c>
      <c r="K1" s="15" t="s">
        <v>931</v>
      </c>
    </row>
    <row r="2" spans="1:11">
      <c r="I2" s="17" t="s">
        <v>224</v>
      </c>
      <c r="J2" s="17" t="s">
        <v>932</v>
      </c>
      <c r="K2" s="17" t="s">
        <v>933</v>
      </c>
    </row>
    <row r="3" spans="1:11">
      <c r="A3" s="12" t="s">
        <v>58</v>
      </c>
      <c r="B3" s="33" t="s">
        <v>934</v>
      </c>
      <c r="C3" s="33"/>
      <c r="D3" s="33"/>
      <c r="E3" s="12" t="s">
        <v>60</v>
      </c>
      <c r="F3" s="14" t="s">
        <v>154</v>
      </c>
      <c r="I3" s="17" t="s">
        <v>228</v>
      </c>
      <c r="J3" s="17" t="s">
        <v>935</v>
      </c>
      <c r="K3" s="17" t="s">
        <v>936</v>
      </c>
    </row>
    <row r="4" spans="1:11">
      <c r="A4" s="12" t="s">
        <v>61</v>
      </c>
      <c r="B4" s="33" t="s">
        <v>231</v>
      </c>
      <c r="C4" s="33"/>
      <c r="D4" s="33"/>
      <c r="E4" s="12" t="s">
        <v>63</v>
      </c>
      <c r="F4" s="14" t="s">
        <v>156</v>
      </c>
      <c r="I4" s="17" t="s">
        <v>232</v>
      </c>
      <c r="J4" s="17" t="s">
        <v>937</v>
      </c>
      <c r="K4" s="17" t="s">
        <v>938</v>
      </c>
    </row>
    <row r="5" spans="1:11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908</v>
      </c>
      <c r="K5" s="17" t="s">
        <v>939</v>
      </c>
    </row>
    <row r="6" spans="1:11" ht="46.5">
      <c r="A6" s="12" t="s">
        <v>68</v>
      </c>
      <c r="B6" s="33" t="s">
        <v>940</v>
      </c>
      <c r="C6" s="33"/>
      <c r="D6" s="33"/>
      <c r="E6" s="33"/>
      <c r="F6" s="33"/>
      <c r="I6" s="17" t="s">
        <v>238</v>
      </c>
      <c r="J6" s="17" t="s">
        <v>85</v>
      </c>
      <c r="K6" s="17" t="s">
        <v>941</v>
      </c>
    </row>
    <row r="7" spans="1:11" ht="46.5">
      <c r="A7" s="12" t="s">
        <v>70</v>
      </c>
      <c r="B7" s="33" t="s">
        <v>943</v>
      </c>
      <c r="C7" s="33"/>
      <c r="D7" s="33"/>
      <c r="E7" s="33"/>
      <c r="F7" s="33"/>
      <c r="I7" s="17" t="s">
        <v>244</v>
      </c>
      <c r="J7" s="17" t="s">
        <v>85</v>
      </c>
      <c r="K7" s="17" t="s">
        <v>944</v>
      </c>
    </row>
    <row r="9" spans="1:1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1">
      <c r="A10" s="32"/>
      <c r="B10" s="15" t="s">
        <v>806</v>
      </c>
      <c r="C10" s="15" t="s">
        <v>945</v>
      </c>
      <c r="D10" s="32"/>
      <c r="E10" s="32"/>
      <c r="F10" s="32"/>
    </row>
    <row r="11" spans="1:11">
      <c r="A11" s="16" t="s">
        <v>946</v>
      </c>
      <c r="B11" s="13" t="s">
        <v>947</v>
      </c>
      <c r="C11" s="13" t="s">
        <v>948</v>
      </c>
      <c r="D11" s="13" t="s">
        <v>949</v>
      </c>
      <c r="E11" s="13" t="s">
        <v>949</v>
      </c>
      <c r="F11" s="17" t="s">
        <v>5</v>
      </c>
    </row>
    <row r="12" spans="1:11">
      <c r="A12" s="16" t="s">
        <v>950</v>
      </c>
      <c r="B12" s="13" t="s">
        <v>947</v>
      </c>
      <c r="C12" s="13" t="s">
        <v>951</v>
      </c>
      <c r="D12" s="13" t="s">
        <v>952</v>
      </c>
      <c r="E12" s="13" t="s">
        <v>952</v>
      </c>
      <c r="F12" s="17" t="s">
        <v>5</v>
      </c>
    </row>
    <row r="13" spans="1:11">
      <c r="A13" s="16" t="s">
        <v>953</v>
      </c>
      <c r="B13" s="13" t="s">
        <v>947</v>
      </c>
      <c r="C13" s="13" t="s">
        <v>954</v>
      </c>
      <c r="D13" s="13" t="s">
        <v>952</v>
      </c>
      <c r="E13" s="13" t="s">
        <v>952</v>
      </c>
      <c r="F13" s="17" t="s">
        <v>5</v>
      </c>
    </row>
    <row r="14" spans="1:11">
      <c r="A14" s="16" t="s">
        <v>955</v>
      </c>
      <c r="B14" s="13" t="s">
        <v>947</v>
      </c>
      <c r="C14" s="13" t="s">
        <v>956</v>
      </c>
      <c r="D14" s="13" t="s">
        <v>952</v>
      </c>
      <c r="E14" s="13" t="s">
        <v>952</v>
      </c>
      <c r="F14" s="17" t="s">
        <v>5</v>
      </c>
    </row>
    <row r="15" spans="1:11" ht="46.5">
      <c r="A15" s="16" t="s">
        <v>957</v>
      </c>
      <c r="B15" s="13" t="s">
        <v>947</v>
      </c>
      <c r="C15" s="13" t="s">
        <v>958</v>
      </c>
      <c r="D15" s="13" t="s">
        <v>949</v>
      </c>
      <c r="E15" s="13" t="s">
        <v>949</v>
      </c>
      <c r="F15" s="17" t="s">
        <v>5</v>
      </c>
    </row>
    <row r="16" spans="1:11">
      <c r="A16" s="16" t="s">
        <v>959</v>
      </c>
      <c r="B16" s="13" t="s">
        <v>960</v>
      </c>
      <c r="C16" s="13" t="s">
        <v>933</v>
      </c>
      <c r="D16" s="13" t="s">
        <v>308</v>
      </c>
      <c r="E16" s="13" t="s">
        <v>308</v>
      </c>
      <c r="F16" s="17" t="s">
        <v>5</v>
      </c>
    </row>
    <row r="17" spans="1:6">
      <c r="A17" s="16" t="s">
        <v>961</v>
      </c>
      <c r="B17" s="13" t="s">
        <v>960</v>
      </c>
      <c r="C17" s="13" t="s">
        <v>936</v>
      </c>
      <c r="D17" s="13" t="s">
        <v>936</v>
      </c>
      <c r="E17" s="13" t="s">
        <v>936</v>
      </c>
      <c r="F17" s="17" t="s">
        <v>5</v>
      </c>
    </row>
    <row r="18" spans="1:6">
      <c r="A18" s="16" t="s">
        <v>962</v>
      </c>
      <c r="B18" s="13" t="s">
        <v>960</v>
      </c>
      <c r="C18" s="13" t="s">
        <v>938</v>
      </c>
      <c r="D18" s="13" t="s">
        <v>938</v>
      </c>
      <c r="E18" s="13" t="s">
        <v>938</v>
      </c>
      <c r="F18" s="17" t="s">
        <v>5</v>
      </c>
    </row>
    <row r="19" spans="1:6">
      <c r="A19" s="16" t="s">
        <v>963</v>
      </c>
      <c r="B19" s="13" t="s">
        <v>960</v>
      </c>
      <c r="C19" s="13" t="s">
        <v>939</v>
      </c>
      <c r="D19" s="13" t="s">
        <v>939</v>
      </c>
      <c r="E19" s="13" t="s">
        <v>939</v>
      </c>
      <c r="F19" s="17" t="s">
        <v>5</v>
      </c>
    </row>
    <row r="20" spans="1:6">
      <c r="A20" s="16" t="s">
        <v>964</v>
      </c>
      <c r="B20" s="13" t="s">
        <v>960</v>
      </c>
      <c r="C20" s="13" t="s">
        <v>941</v>
      </c>
      <c r="D20" s="13" t="s">
        <v>941</v>
      </c>
      <c r="E20" s="13" t="s">
        <v>941</v>
      </c>
      <c r="F20" s="17" t="s">
        <v>5</v>
      </c>
    </row>
    <row r="21" spans="1:6">
      <c r="A21" s="16" t="s">
        <v>965</v>
      </c>
      <c r="B21" s="13" t="s">
        <v>960</v>
      </c>
      <c r="C21" s="13" t="s">
        <v>942</v>
      </c>
      <c r="D21" s="13" t="s">
        <v>942</v>
      </c>
      <c r="E21" s="13" t="s">
        <v>942</v>
      </c>
      <c r="F21" s="17" t="s">
        <v>5</v>
      </c>
    </row>
    <row r="22" spans="1:6">
      <c r="A22" s="16" t="s">
        <v>966</v>
      </c>
      <c r="B22" s="13" t="s">
        <v>960</v>
      </c>
      <c r="C22" s="13" t="s">
        <v>944</v>
      </c>
      <c r="D22" s="13" t="s">
        <v>942</v>
      </c>
      <c r="E22" s="13" t="s">
        <v>942</v>
      </c>
      <c r="F22" s="17" t="s">
        <v>5</v>
      </c>
    </row>
    <row r="23" spans="1:6">
      <c r="A23" s="16" t="s">
        <v>967</v>
      </c>
      <c r="B23" s="13" t="s">
        <v>960</v>
      </c>
      <c r="C23" s="13" t="s">
        <v>968</v>
      </c>
      <c r="D23" s="13" t="s">
        <v>308</v>
      </c>
      <c r="E23" s="13" t="s">
        <v>308</v>
      </c>
      <c r="F23" s="17" t="s">
        <v>5</v>
      </c>
    </row>
    <row r="24" spans="1:6">
      <c r="A24" s="16" t="s">
        <v>969</v>
      </c>
      <c r="B24" s="13" t="s">
        <v>970</v>
      </c>
      <c r="C24" s="13" t="s">
        <v>85</v>
      </c>
      <c r="D24" s="13" t="s">
        <v>971</v>
      </c>
      <c r="E24" s="13" t="s">
        <v>971</v>
      </c>
      <c r="F24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24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972</v>
      </c>
      <c r="C4" s="30"/>
      <c r="E4" s="11" t="s">
        <v>21</v>
      </c>
      <c r="F4" s="30" t="s">
        <v>973</v>
      </c>
      <c r="G4" s="30"/>
      <c r="H4" s="30"/>
      <c r="I4" s="30"/>
    </row>
    <row r="5" spans="1:9" ht="24" thickBot="1">
      <c r="A5" s="11" t="s">
        <v>23</v>
      </c>
      <c r="B5" s="30" t="s">
        <v>974</v>
      </c>
      <c r="C5" s="30"/>
      <c r="E5" s="11" t="s">
        <v>25</v>
      </c>
      <c r="F5" s="30" t="s">
        <v>975</v>
      </c>
      <c r="G5" s="30"/>
      <c r="H5" s="30"/>
      <c r="I5" s="30"/>
    </row>
    <row r="6" spans="1:9" ht="24" thickBot="1">
      <c r="A6" s="11" t="s">
        <v>27</v>
      </c>
      <c r="B6" s="30" t="s">
        <v>976</v>
      </c>
      <c r="C6" s="30"/>
      <c r="E6" s="11" t="s">
        <v>29</v>
      </c>
      <c r="F6" s="30" t="s">
        <v>977</v>
      </c>
      <c r="G6" s="30"/>
      <c r="H6" s="30"/>
      <c r="I6" s="30"/>
    </row>
    <row r="7" spans="1:9" ht="24" thickBot="1">
      <c r="A7" s="11" t="s">
        <v>31</v>
      </c>
      <c r="B7" s="30" t="s">
        <v>978</v>
      </c>
      <c r="C7" s="30"/>
      <c r="E7" s="11" t="s">
        <v>33</v>
      </c>
      <c r="F7" s="30" t="s">
        <v>979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>
      <c r="A11" s="12" t="s">
        <v>58</v>
      </c>
      <c r="B11" s="33" t="s">
        <v>980</v>
      </c>
      <c r="C11" s="33"/>
      <c r="D11" s="33"/>
      <c r="E11" s="21"/>
      <c r="F11" s="21"/>
      <c r="G11" s="21"/>
      <c r="H11" s="12" t="s">
        <v>60</v>
      </c>
      <c r="I11" s="14" t="s">
        <v>154</v>
      </c>
    </row>
    <row r="12" spans="1:9">
      <c r="A12" s="12" t="s">
        <v>61</v>
      </c>
      <c r="B12" s="33" t="s">
        <v>62</v>
      </c>
      <c r="C12" s="33"/>
      <c r="D12" s="33"/>
      <c r="E12" s="21"/>
      <c r="F12" s="21"/>
      <c r="G12" s="21"/>
      <c r="H12" s="12" t="s">
        <v>63</v>
      </c>
      <c r="I12" s="14" t="s">
        <v>156</v>
      </c>
    </row>
    <row r="13" spans="1:9" ht="46.5">
      <c r="A13" s="12" t="s">
        <v>64</v>
      </c>
      <c r="B13" s="33" t="s">
        <v>65</v>
      </c>
      <c r="C13" s="33"/>
      <c r="D13" s="33"/>
      <c r="E13" s="21"/>
      <c r="F13" s="21"/>
      <c r="G13" s="21"/>
      <c r="H13" s="12" t="s">
        <v>66</v>
      </c>
      <c r="I13" s="13" t="s">
        <v>67</v>
      </c>
    </row>
    <row r="14" spans="1:9" ht="46.5">
      <c r="A14" s="12" t="s">
        <v>68</v>
      </c>
      <c r="B14" s="33" t="s">
        <v>981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982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806</v>
      </c>
      <c r="C18" s="15" t="s">
        <v>945</v>
      </c>
      <c r="D18" s="32"/>
      <c r="E18" s="32"/>
      <c r="F18" s="32"/>
    </row>
    <row r="19" spans="1:6">
      <c r="A19" s="16" t="s">
        <v>983</v>
      </c>
      <c r="B19" s="13" t="s">
        <v>960</v>
      </c>
      <c r="C19" s="13" t="s">
        <v>908</v>
      </c>
      <c r="D19" s="13" t="s">
        <v>984</v>
      </c>
      <c r="E19" s="13">
        <v>120</v>
      </c>
      <c r="F19" s="17" t="s">
        <v>5</v>
      </c>
    </row>
    <row r="20" spans="1:6">
      <c r="A20" s="16" t="s">
        <v>985</v>
      </c>
      <c r="B20" s="13" t="s">
        <v>960</v>
      </c>
      <c r="C20" s="13" t="s">
        <v>936</v>
      </c>
      <c r="D20" s="13" t="s">
        <v>986</v>
      </c>
      <c r="E20" s="13" t="s">
        <v>1095</v>
      </c>
      <c r="F20" s="17" t="s">
        <v>5</v>
      </c>
    </row>
    <row r="21" spans="1:6">
      <c r="A21" s="16" t="s">
        <v>987</v>
      </c>
      <c r="B21" s="13" t="s">
        <v>960</v>
      </c>
      <c r="C21" s="13" t="s">
        <v>988</v>
      </c>
      <c r="D21" s="13" t="s">
        <v>989</v>
      </c>
      <c r="E21" s="13" t="s">
        <v>1096</v>
      </c>
      <c r="F21" s="17" t="s">
        <v>5</v>
      </c>
    </row>
    <row r="22" spans="1:6">
      <c r="A22" s="16" t="s">
        <v>990</v>
      </c>
      <c r="B22" s="13" t="s">
        <v>960</v>
      </c>
      <c r="C22" s="13" t="s">
        <v>991</v>
      </c>
      <c r="D22" s="13" t="s">
        <v>992</v>
      </c>
      <c r="E22" s="13" t="s">
        <v>1097</v>
      </c>
      <c r="F22" s="17" t="s">
        <v>5</v>
      </c>
    </row>
    <row r="23" spans="1:6">
      <c r="A23" s="16" t="s">
        <v>993</v>
      </c>
      <c r="B23" s="13" t="s">
        <v>947</v>
      </c>
      <c r="C23" s="13" t="s">
        <v>956</v>
      </c>
      <c r="D23" s="13" t="s">
        <v>994</v>
      </c>
      <c r="E23" s="13" t="b">
        <v>1</v>
      </c>
      <c r="F23" s="17" t="s">
        <v>5</v>
      </c>
    </row>
    <row r="24" spans="1:6">
      <c r="A24" s="16" t="s">
        <v>995</v>
      </c>
      <c r="B24" s="13" t="s">
        <v>960</v>
      </c>
      <c r="C24" s="13" t="s">
        <v>933</v>
      </c>
      <c r="D24" s="13" t="s">
        <v>996</v>
      </c>
      <c r="E24" s="13">
        <v>0</v>
      </c>
      <c r="F24" s="17" t="s">
        <v>5</v>
      </c>
    </row>
    <row r="25" spans="1:6">
      <c r="A25" s="16" t="s">
        <v>997</v>
      </c>
      <c r="B25" s="13" t="s">
        <v>960</v>
      </c>
      <c r="C25" s="13" t="s">
        <v>998</v>
      </c>
      <c r="D25" s="13" t="s">
        <v>999</v>
      </c>
      <c r="E25" s="13">
        <v>0</v>
      </c>
      <c r="F25" s="17" t="s">
        <v>5</v>
      </c>
    </row>
    <row r="26" spans="1:6">
      <c r="A26" s="16" t="s">
        <v>1000</v>
      </c>
      <c r="B26" s="13" t="s">
        <v>960</v>
      </c>
      <c r="C26" s="13" t="s">
        <v>93</v>
      </c>
      <c r="D26" s="13" t="s">
        <v>1001</v>
      </c>
      <c r="E26" s="13">
        <v>0</v>
      </c>
      <c r="F26" s="17" t="s">
        <v>5</v>
      </c>
    </row>
    <row r="27" spans="1:6" ht="46.5">
      <c r="A27" s="16" t="s">
        <v>1002</v>
      </c>
      <c r="B27" s="13" t="s">
        <v>947</v>
      </c>
      <c r="C27" s="13" t="s">
        <v>1003</v>
      </c>
      <c r="D27" s="13" t="s">
        <v>1004</v>
      </c>
      <c r="E27" s="13" t="b">
        <v>0</v>
      </c>
      <c r="F27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1:D11"/>
    <mergeCell ref="B12:D12"/>
    <mergeCell ref="B13:D13"/>
    <mergeCell ref="B14:I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7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1005</v>
      </c>
      <c r="C4" s="30"/>
      <c r="E4" s="11" t="s">
        <v>21</v>
      </c>
      <c r="F4" s="30" t="s">
        <v>1006</v>
      </c>
      <c r="G4" s="30"/>
      <c r="H4" s="30"/>
      <c r="I4" s="30"/>
    </row>
    <row r="5" spans="1:9" ht="24" thickBot="1">
      <c r="A5" s="11" t="s">
        <v>23</v>
      </c>
      <c r="B5" s="30" t="s">
        <v>1007</v>
      </c>
      <c r="C5" s="30"/>
      <c r="E5" s="11" t="s">
        <v>25</v>
      </c>
      <c r="F5" s="30" t="s">
        <v>93</v>
      </c>
      <c r="G5" s="30"/>
      <c r="H5" s="30"/>
      <c r="I5" s="30"/>
    </row>
    <row r="6" spans="1:9" ht="24" thickBot="1">
      <c r="A6" s="11" t="s">
        <v>27</v>
      </c>
      <c r="B6" s="30" t="s">
        <v>1008</v>
      </c>
      <c r="C6" s="30"/>
      <c r="E6" s="11" t="s">
        <v>29</v>
      </c>
      <c r="F6" s="30" t="s">
        <v>1009</v>
      </c>
      <c r="G6" s="30"/>
      <c r="H6" s="30"/>
      <c r="I6" s="30"/>
    </row>
    <row r="7" spans="1:9" ht="24" thickBot="1">
      <c r="A7" s="11" t="s">
        <v>31</v>
      </c>
      <c r="B7" s="30" t="s">
        <v>1010</v>
      </c>
      <c r="C7" s="30"/>
      <c r="E7" s="11" t="s">
        <v>33</v>
      </c>
      <c r="F7" s="30" t="s">
        <v>1011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 ht="23.25" customHeight="1">
      <c r="A11" s="12" t="s">
        <v>58</v>
      </c>
      <c r="B11" s="35" t="s">
        <v>1012</v>
      </c>
      <c r="C11" s="36"/>
      <c r="D11" s="36"/>
      <c r="E11" s="36"/>
      <c r="F11" s="36"/>
      <c r="G11" s="37"/>
      <c r="H11" s="12" t="s">
        <v>60</v>
      </c>
      <c r="I11" s="14" t="s">
        <v>154</v>
      </c>
    </row>
    <row r="12" spans="1:9">
      <c r="A12" s="12" t="s">
        <v>61</v>
      </c>
      <c r="B12" s="35" t="s">
        <v>62</v>
      </c>
      <c r="C12" s="36"/>
      <c r="D12" s="36"/>
      <c r="E12" s="36"/>
      <c r="F12" s="36"/>
      <c r="G12" s="37"/>
      <c r="H12" s="12" t="s">
        <v>63</v>
      </c>
      <c r="I12" s="14" t="s">
        <v>156</v>
      </c>
    </row>
    <row r="13" spans="1:9" ht="46.5" customHeight="1">
      <c r="A13" s="12" t="s">
        <v>64</v>
      </c>
      <c r="B13" s="35" t="s">
        <v>65</v>
      </c>
      <c r="C13" s="36"/>
      <c r="D13" s="36"/>
      <c r="E13" s="36"/>
      <c r="F13" s="36"/>
      <c r="G13" s="37"/>
      <c r="H13" s="12" t="s">
        <v>66</v>
      </c>
      <c r="I13" s="13" t="s">
        <v>67</v>
      </c>
    </row>
    <row r="14" spans="1:9" ht="46.5">
      <c r="A14" s="12" t="s">
        <v>68</v>
      </c>
      <c r="B14" s="33" t="s">
        <v>1013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1014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906</v>
      </c>
      <c r="C18" s="15" t="s">
        <v>1015</v>
      </c>
      <c r="D18" s="32"/>
      <c r="E18" s="32"/>
      <c r="F18" s="32"/>
    </row>
    <row r="19" spans="1:6" ht="52.5" customHeight="1">
      <c r="A19" s="16" t="s">
        <v>1016</v>
      </c>
      <c r="B19" s="13" t="s">
        <v>911</v>
      </c>
      <c r="C19" s="13" t="s">
        <v>1017</v>
      </c>
      <c r="D19" s="13" t="s">
        <v>1018</v>
      </c>
      <c r="E19" s="13" t="s">
        <v>1107</v>
      </c>
      <c r="F19" s="17" t="s">
        <v>5</v>
      </c>
    </row>
    <row r="20" spans="1:6" ht="54.75" customHeight="1">
      <c r="A20" s="16" t="s">
        <v>1019</v>
      </c>
      <c r="B20" s="13" t="s">
        <v>1020</v>
      </c>
      <c r="C20" s="13" t="s">
        <v>1017</v>
      </c>
      <c r="D20" s="13" t="s">
        <v>1021</v>
      </c>
      <c r="E20" s="13" t="s">
        <v>1108</v>
      </c>
      <c r="F20" s="17" t="s">
        <v>5</v>
      </c>
    </row>
    <row r="21" spans="1:6" ht="54" customHeight="1">
      <c r="A21" s="16" t="s">
        <v>1022</v>
      </c>
      <c r="B21" s="13" t="s">
        <v>1023</v>
      </c>
      <c r="C21" s="13" t="s">
        <v>1017</v>
      </c>
      <c r="D21" s="13" t="s">
        <v>1024</v>
      </c>
      <c r="E21" s="13" t="s">
        <v>1107</v>
      </c>
      <c r="F21" s="17" t="s">
        <v>5</v>
      </c>
    </row>
    <row r="22" spans="1:6" ht="49.5" customHeight="1">
      <c r="A22" s="16" t="s">
        <v>1025</v>
      </c>
      <c r="B22" s="13" t="s">
        <v>1026</v>
      </c>
      <c r="C22" s="13" t="s">
        <v>1027</v>
      </c>
      <c r="D22" s="13" t="s">
        <v>1028</v>
      </c>
      <c r="E22" s="13" t="s">
        <v>1109</v>
      </c>
      <c r="F22" s="17" t="s">
        <v>5</v>
      </c>
    </row>
    <row r="23" spans="1:6" ht="33" customHeight="1">
      <c r="A23" s="16" t="s">
        <v>1029</v>
      </c>
      <c r="B23" s="13" t="s">
        <v>920</v>
      </c>
      <c r="C23" s="13" t="s">
        <v>1017</v>
      </c>
      <c r="D23" s="13" t="s">
        <v>1030</v>
      </c>
      <c r="E23" s="13" t="s">
        <v>1110</v>
      </c>
      <c r="F23" s="17" t="s">
        <v>5</v>
      </c>
    </row>
    <row r="24" spans="1:6" ht="29.25" customHeight="1">
      <c r="A24" s="16" t="s">
        <v>1031</v>
      </c>
      <c r="B24" s="13" t="s">
        <v>93</v>
      </c>
      <c r="C24" s="13" t="s">
        <v>1017</v>
      </c>
      <c r="D24" s="13" t="s">
        <v>1032</v>
      </c>
      <c r="E24" s="13" t="s">
        <v>1110</v>
      </c>
      <c r="F24" s="17" t="s">
        <v>5</v>
      </c>
    </row>
    <row r="25" spans="1:6" ht="30" customHeight="1">
      <c r="A25" s="16" t="s">
        <v>1033</v>
      </c>
      <c r="B25" s="13" t="s">
        <v>1034</v>
      </c>
      <c r="C25" s="13" t="s">
        <v>1017</v>
      </c>
      <c r="D25" s="13" t="s">
        <v>1035</v>
      </c>
      <c r="E25" s="13" t="s">
        <v>1110</v>
      </c>
      <c r="F25" s="17" t="s">
        <v>5</v>
      </c>
    </row>
    <row r="26" spans="1:6" ht="77.25" customHeight="1">
      <c r="A26" s="16" t="s">
        <v>1036</v>
      </c>
      <c r="B26" s="13" t="s">
        <v>911</v>
      </c>
      <c r="C26" s="13" t="s">
        <v>1037</v>
      </c>
      <c r="D26" s="13" t="s">
        <v>1038</v>
      </c>
      <c r="E26" s="13" t="s">
        <v>1110</v>
      </c>
      <c r="F26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4:I14"/>
    <mergeCell ref="B11:G11"/>
    <mergeCell ref="B12:G12"/>
    <mergeCell ref="B13:G13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6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topLeftCell="A12" workbookViewId="0">
      <selection activeCell="H29" sqref="H29"/>
    </sheetView>
  </sheetViews>
  <sheetFormatPr defaultColWidth="7.625" defaultRowHeight="23.2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868</v>
      </c>
      <c r="C4" s="30"/>
      <c r="E4" s="11" t="s">
        <v>21</v>
      </c>
      <c r="F4" s="30" t="s">
        <v>1039</v>
      </c>
      <c r="G4" s="30"/>
      <c r="H4" s="30"/>
      <c r="I4" s="30"/>
    </row>
    <row r="5" spans="1:9" ht="24" thickBot="1">
      <c r="A5" s="11" t="s">
        <v>23</v>
      </c>
      <c r="B5" s="30" t="s">
        <v>875</v>
      </c>
      <c r="C5" s="30"/>
      <c r="E5" s="11" t="s">
        <v>25</v>
      </c>
      <c r="F5" s="30" t="s">
        <v>1040</v>
      </c>
      <c r="G5" s="30"/>
      <c r="H5" s="30"/>
      <c r="I5" s="30"/>
    </row>
    <row r="6" spans="1:9" ht="24" thickBot="1">
      <c r="A6" s="11" t="s">
        <v>27</v>
      </c>
      <c r="B6" s="30" t="s">
        <v>882</v>
      </c>
      <c r="C6" s="30"/>
      <c r="E6" s="11" t="s">
        <v>29</v>
      </c>
      <c r="F6" s="30" t="s">
        <v>1041</v>
      </c>
      <c r="G6" s="30"/>
      <c r="H6" s="30"/>
      <c r="I6" s="30"/>
    </row>
    <row r="7" spans="1:9" ht="24" thickBot="1">
      <c r="A7" s="11" t="s">
        <v>31</v>
      </c>
      <c r="B7" s="30" t="s">
        <v>1042</v>
      </c>
      <c r="C7" s="30"/>
      <c r="E7" s="11" t="s">
        <v>33</v>
      </c>
      <c r="F7" s="30" t="s">
        <v>1043</v>
      </c>
      <c r="G7" s="30"/>
      <c r="H7" s="30"/>
      <c r="I7" s="30"/>
    </row>
    <row r="8" spans="1:9" ht="24" thickBot="1">
      <c r="A8" s="11" t="s">
        <v>35</v>
      </c>
      <c r="B8" s="30" t="s">
        <v>1044</v>
      </c>
      <c r="C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 ht="23.25" customHeight="1">
      <c r="A12" s="12" t="s">
        <v>58</v>
      </c>
      <c r="B12" s="35" t="s">
        <v>1045</v>
      </c>
      <c r="C12" s="36"/>
      <c r="D12" s="36"/>
      <c r="E12" s="36"/>
      <c r="F12" s="36"/>
      <c r="G12" s="37"/>
      <c r="H12" s="12" t="s">
        <v>60</v>
      </c>
      <c r="I12" s="14" t="s">
        <v>154</v>
      </c>
    </row>
    <row r="13" spans="1:9" ht="23.25" customHeight="1">
      <c r="A13" s="12" t="s">
        <v>61</v>
      </c>
      <c r="B13" s="35" t="s">
        <v>1046</v>
      </c>
      <c r="C13" s="36"/>
      <c r="D13" s="36"/>
      <c r="E13" s="36"/>
      <c r="F13" s="36"/>
      <c r="G13" s="37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1047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1048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806</v>
      </c>
      <c r="C19" s="15" t="s">
        <v>1049</v>
      </c>
      <c r="D19" s="32"/>
      <c r="E19" s="32"/>
      <c r="F19" s="32"/>
    </row>
    <row r="20" spans="1:6">
      <c r="A20" s="16" t="s">
        <v>1050</v>
      </c>
      <c r="B20" s="13" t="s">
        <v>1051</v>
      </c>
      <c r="C20" s="13" t="s">
        <v>868</v>
      </c>
      <c r="D20" s="13" t="s">
        <v>1052</v>
      </c>
      <c r="E20" s="13" t="s">
        <v>1098</v>
      </c>
      <c r="F20" s="17" t="s">
        <v>5</v>
      </c>
    </row>
    <row r="21" spans="1:6">
      <c r="A21" s="16" t="s">
        <v>1053</v>
      </c>
      <c r="B21" s="13" t="s">
        <v>1051</v>
      </c>
      <c r="C21" s="13" t="s">
        <v>875</v>
      </c>
      <c r="D21" s="13" t="s">
        <v>1054</v>
      </c>
      <c r="E21" s="13" t="s">
        <v>1099</v>
      </c>
      <c r="F21" s="17" t="s">
        <v>5</v>
      </c>
    </row>
    <row r="22" spans="1:6">
      <c r="A22" s="16" t="s">
        <v>1055</v>
      </c>
      <c r="B22" s="13" t="s">
        <v>1051</v>
      </c>
      <c r="C22" s="13" t="s">
        <v>882</v>
      </c>
      <c r="D22" s="13" t="s">
        <v>1056</v>
      </c>
      <c r="E22" s="13" t="s">
        <v>1100</v>
      </c>
      <c r="F22" s="17" t="s">
        <v>5</v>
      </c>
    </row>
    <row r="23" spans="1:6" ht="46.5">
      <c r="A23" s="16" t="s">
        <v>1057</v>
      </c>
      <c r="B23" s="13" t="s">
        <v>1051</v>
      </c>
      <c r="C23" s="13" t="s">
        <v>93</v>
      </c>
      <c r="D23" s="13" t="s">
        <v>1058</v>
      </c>
      <c r="E23" s="13" t="s">
        <v>1101</v>
      </c>
      <c r="F23" s="17" t="s">
        <v>5</v>
      </c>
    </row>
    <row r="24" spans="1:6" ht="51.75" customHeight="1">
      <c r="A24" s="16" t="s">
        <v>1059</v>
      </c>
      <c r="B24" s="13" t="s">
        <v>1060</v>
      </c>
      <c r="C24" s="13" t="s">
        <v>882</v>
      </c>
      <c r="D24" s="13" t="s">
        <v>1061</v>
      </c>
      <c r="E24" s="13" t="s">
        <v>1102</v>
      </c>
      <c r="F24" s="17" t="s">
        <v>5</v>
      </c>
    </row>
    <row r="25" spans="1:6" ht="46.5">
      <c r="A25" s="16" t="s">
        <v>1062</v>
      </c>
      <c r="B25" s="13" t="s">
        <v>1063</v>
      </c>
      <c r="C25" s="13" t="s">
        <v>1064</v>
      </c>
      <c r="D25" s="13" t="s">
        <v>1065</v>
      </c>
      <c r="E25" s="13" t="s">
        <v>1103</v>
      </c>
      <c r="F25" s="17" t="s">
        <v>5</v>
      </c>
    </row>
    <row r="26" spans="1:6" ht="46.5">
      <c r="A26" s="16" t="s">
        <v>1066</v>
      </c>
      <c r="B26" s="13" t="s">
        <v>1067</v>
      </c>
      <c r="C26" s="13" t="s">
        <v>1068</v>
      </c>
      <c r="D26" s="13" t="s">
        <v>1069</v>
      </c>
      <c r="E26" s="13" t="s">
        <v>1104</v>
      </c>
      <c r="F26" s="17" t="s">
        <v>5</v>
      </c>
    </row>
    <row r="27" spans="1:6">
      <c r="A27" s="16" t="s">
        <v>1070</v>
      </c>
      <c r="B27" s="13" t="s">
        <v>1071</v>
      </c>
      <c r="C27" s="13" t="s">
        <v>93</v>
      </c>
      <c r="D27" s="13" t="s">
        <v>1072</v>
      </c>
      <c r="E27" s="13" t="b">
        <v>0</v>
      </c>
      <c r="F27" s="17" t="s">
        <v>5</v>
      </c>
    </row>
    <row r="28" spans="1:6">
      <c r="A28" s="16" t="s">
        <v>1073</v>
      </c>
      <c r="B28" s="13" t="s">
        <v>1071</v>
      </c>
      <c r="C28" s="13" t="s">
        <v>1074</v>
      </c>
      <c r="D28" s="13" t="s">
        <v>1075</v>
      </c>
      <c r="E28" s="13" t="s">
        <v>1105</v>
      </c>
      <c r="F28" s="17" t="s">
        <v>5</v>
      </c>
    </row>
    <row r="29" spans="1:6" ht="69.75">
      <c r="A29" s="16" t="s">
        <v>1076</v>
      </c>
      <c r="B29" s="13" t="s">
        <v>1077</v>
      </c>
      <c r="C29" s="13" t="s">
        <v>1078</v>
      </c>
      <c r="D29" s="13" t="s">
        <v>1079</v>
      </c>
      <c r="E29" s="39" t="s">
        <v>1106</v>
      </c>
      <c r="F29" s="17" t="s">
        <v>5</v>
      </c>
    </row>
  </sheetData>
  <mergeCells count="24">
    <mergeCell ref="B16:I16"/>
    <mergeCell ref="A18:A19"/>
    <mergeCell ref="B18:C18"/>
    <mergeCell ref="D18:D19"/>
    <mergeCell ref="E18:E19"/>
    <mergeCell ref="F18:F19"/>
    <mergeCell ref="B8:C8"/>
    <mergeCell ref="A10:I10"/>
    <mergeCell ref="B15:I15"/>
    <mergeCell ref="B12:G12"/>
    <mergeCell ref="B13:G13"/>
    <mergeCell ref="B14:G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9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2026-10-09T22:31:13Z</dcterms:modified>
</cp:coreProperties>
</file>