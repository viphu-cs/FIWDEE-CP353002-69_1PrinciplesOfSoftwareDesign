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rojectPOS\FIWDEE-CP353002-69_1PrinciplesOfSoftwareDesign\test\"/>
    </mc:Choice>
  </mc:AlternateContent>
  <xr:revisionPtr revIDLastSave="0" documentId="13_ncr:1_{3F2D3AF7-EC86-491F-B2EB-5E97BC53566E}" xr6:coauthVersionLast="47" xr6:coauthVersionMax="47" xr10:uidLastSave="{00000000-0000-0000-0000-000000000000}"/>
  <bookViews>
    <workbookView xWindow="-120" yWindow="-120" windowWidth="29040" windowHeight="15720" xr2:uid="{9B0ECA1C-B255-4EEE-B7A8-035645CFC3D9}"/>
  </bookViews>
  <sheets>
    <sheet name="Test Summary" sheetId="1" r:id="rId1"/>
    <sheet name="Defect Summary" sheetId="4" r:id="rId2"/>
    <sheet name="UT01_CreateBooking_EC" sheetId="2" r:id="rId3"/>
    <sheet name="UT02_CreateBooking_DT" sheetId="3" r:id="rId4"/>
    <sheet name="UT03_CreateBooking_Time_BVA" sheetId="5" r:id="rId5"/>
    <sheet name="UT04_Overlap_Buffer_BVA" sheetId="6" r:id="rId6"/>
    <sheet name="UT05_CancelBooking_DT" sheetId="7" r:id="rId7"/>
    <sheet name="UT06_Cancel_2h_BVA" sheetId="8" r:id="rId8"/>
    <sheet name="UT07_GetBookingById_DT" sheetId="9" r:id="rId9"/>
    <sheet name="UT08_BookingState_DT" sheetId="10" r:id="rId10"/>
    <sheet name="UT09_StateFactory_EC" sheetId="11" r:id="rId11"/>
    <sheet name="UT10_Availability_BVA" sheetId="12" r:id="rId12"/>
    <sheet name="UT11_Availability_EC" sheetId="14" r:id="rId13"/>
    <sheet name="UT12_BookingMapper_EC" sheetId="15" r:id="rId14"/>
    <sheet name="UT13_ProcessPayment_DT" sheetId="16" r:id="rId15"/>
    <sheet name="UT14_Payment_Promo_Status_EC" sheetId="17" r:id="rId16"/>
    <sheet name="UT15_FixedDiscount_BVA" sheetId="18" r:id="rId17"/>
    <sheet name="UT16_PercentDiscount_EC" sheetId="19" r:id="rId18"/>
    <sheet name="UT17_DiscountFactory_EC" sheetId="20" r:id="rId19"/>
    <sheet name="UT18_PaymentStrategy_EC" sheetId="21" r:id="rId20"/>
    <sheet name="UT19_Refund_Amount_BVA" sheetId="22" r:id="rId21"/>
    <sheet name="UT20_Refund_EC" sheetId="23" r:id="rId22"/>
    <sheet name="UT21_CheckIn_Window_BVA" sheetId="25" r:id="rId23"/>
    <sheet name="UT22_CheckIn_Queue_EC" sheetId="26" r:id="rId24"/>
    <sheet name="UT23_QueueStatus_DT" sheetId="27" r:id="rId25"/>
    <sheet name="UT24_TherapistExec_DT" sheetId="28" r:id="rId26"/>
    <sheet name="UT25_Review_Rating_BVA" sheetId="29" r:id="rId27"/>
    <sheet name="UT26_Review_EC" sheetId="30" r:id="rId28"/>
    <sheet name="UT27_Login_DT" sheetId="31" r:id="rId29"/>
    <sheet name="UT28_Register_EC" sheetId="32" r:id="rId30"/>
    <sheet name="UT29_UpdateProfile_DT" sheetId="33" r:id="rId31"/>
    <sheet name="UT30_UserSession_BVA" sheetId="34" r:id="rId32"/>
    <sheet name="UT31_JwtToken_EC" sheetId="35" r:id="rId33"/>
    <sheet name="UT32_RoomService_EC" sheetId="36" r:id="rId34"/>
    <sheet name="UT33_ServiceCatalog_EC" sheetId="37" r:id="rId35"/>
    <sheet name="UT34_Schedule_Shift_BVA" sheetId="39" r:id="rId36"/>
    <sheet name="UT35_ShopHours_BVA" sheetId="38" r:id="rId37"/>
    <sheet name="UT36_RevenueReport_BVA" sheetId="40" r:id="rId3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6" i="1"/>
  <c r="D47" i="1" a="1"/>
  <c r="H46" i="1"/>
  <c r="G46" i="1"/>
  <c r="F46" i="1"/>
  <c r="E46" i="1"/>
  <c r="D46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3" i="1"/>
  <c r="H32" i="1"/>
  <c r="G33" i="1"/>
  <c r="G32" i="1"/>
  <c r="F33" i="1"/>
  <c r="F32" i="1"/>
  <c r="E33" i="1"/>
  <c r="E32" i="1"/>
  <c r="D33" i="1"/>
  <c r="D32" i="1"/>
  <c r="H30" i="1"/>
  <c r="G30" i="1"/>
  <c r="F30" i="1"/>
  <c r="E30" i="1"/>
  <c r="D30" i="1"/>
  <c r="H29" i="1"/>
  <c r="G29" i="1"/>
  <c r="F29" i="1"/>
  <c r="E29" i="1"/>
  <c r="D29" i="1"/>
  <c r="H28" i="1"/>
  <c r="G28" i="1"/>
  <c r="F28" i="1"/>
  <c r="E28" i="1"/>
  <c r="D28" i="1"/>
  <c r="H27" i="1"/>
  <c r="G27" i="1"/>
  <c r="F27" i="1"/>
  <c r="E27" i="1"/>
  <c r="D27" i="1"/>
  <c r="H25" i="1"/>
  <c r="G25" i="1"/>
  <c r="F25" i="1"/>
  <c r="E25" i="1"/>
  <c r="D25" i="1"/>
  <c r="H24" i="1"/>
  <c r="G24" i="1"/>
  <c r="F24" i="1"/>
  <c r="E24" i="1"/>
  <c r="D24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D12" i="1"/>
  <c r="H12" i="1"/>
  <c r="G12" i="1"/>
  <c r="F12" i="1"/>
  <c r="E12" i="1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D9" i="1"/>
  <c r="E9" i="1"/>
  <c r="H8" i="1"/>
  <c r="G8" i="1"/>
  <c r="D8" i="1"/>
  <c r="F8" i="1"/>
  <c r="E8" i="1"/>
  <c r="H7" i="1"/>
  <c r="G7" i="1"/>
  <c r="F7" i="1"/>
  <c r="E7" i="1"/>
  <c r="D7" i="1"/>
  <c r="G6" i="1"/>
  <c r="D6" i="1"/>
  <c r="E6" i="1"/>
  <c r="F6" i="1"/>
  <c r="E5" i="1"/>
  <c r="D5" i="1"/>
  <c r="H4" i="1"/>
  <c r="G4" i="1"/>
  <c r="F4" i="1"/>
  <c r="E4" i="1"/>
  <c r="D4" i="1"/>
  <c r="G5" i="1"/>
  <c r="F5" i="1"/>
  <c r="F47" i="1" l="1" a="1"/>
  <c r="G47" i="1" a="1"/>
  <c r="H47" i="1" a="1"/>
  <c r="E47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<sst xmlns="http://schemas.openxmlformats.org/spreadsheetml/2006/main" count="5008" uniqueCount="1866">
  <si>
    <t>FIWDEE – Unit Test Design</t>
  </si>
  <si>
    <t>No</t>
  </si>
  <si>
    <t>Project</t>
  </si>
  <si>
    <t>Test Strategy</t>
  </si>
  <si>
    <t>No. of Test Cases</t>
  </si>
  <si>
    <t>Pass</t>
  </si>
  <si>
    <t>Fail</t>
  </si>
  <si>
    <t>No run</t>
  </si>
  <si>
    <t>Block</t>
  </si>
  <si>
    <t>Remark / Defect ID</t>
  </si>
  <si>
    <t>Booking</t>
  </si>
  <si>
    <t>UT01 – BookingServiceImpl.createBooking – ข้อมูลนำเข้าและผู้ทำรายการ</t>
  </si>
  <si>
    <t>Weak Robust Equivalence Class Testing</t>
  </si>
  <si>
    <t>Total</t>
  </si>
  <si>
    <t>Equivalence Class Design</t>
  </si>
  <si>
    <t>Valid EC</t>
  </si>
  <si>
    <t>Invalid EC</t>
  </si>
  <si>
    <t>EC ID</t>
  </si>
  <si>
    <t>Condition</t>
  </si>
  <si>
    <t>V1</t>
  </si>
  <si>
    <t>currentUser เป็น CUSTOMER และมีโปรไฟล์ Customer</t>
  </si>
  <si>
    <t>I1</t>
  </si>
  <si>
    <t>currentUser = null</t>
  </si>
  <si>
    <t>V2</t>
  </si>
  <si>
    <t>currentUser เป็น RECEPTIONIST/OWNER และระบุ customerId ที่มีอยู่</t>
  </si>
  <si>
    <t>I2</t>
  </si>
  <si>
    <t>CUSTOMER แต่ไม่พบโปรไฟล์ Customer</t>
  </si>
  <si>
    <t>V3</t>
  </si>
  <si>
    <t>serviceId มีอยู่ และ isActive = true</t>
  </si>
  <si>
    <t>I3</t>
  </si>
  <si>
    <t>พนักงานไม่ระบุ customerId</t>
  </si>
  <si>
    <t>V4</t>
  </si>
  <si>
    <t>durationOptionId มีอยู่, active และเป็นของ service ที่เลือก</t>
  </si>
  <si>
    <t>I4</t>
  </si>
  <si>
    <t>พนักงานระบุ customerId ที่ไม่มีอยู่</t>
  </si>
  <si>
    <t>V5</t>
  </si>
  <si>
    <t>startDateTime ไม่เป็น null</t>
  </si>
  <si>
    <t>I5</t>
  </si>
  <si>
    <t>serviceId ไม่มีอยู่</t>
  </si>
  <si>
    <t>V6</t>
  </si>
  <si>
    <t>therapistId = null (ระบบจัดสรร) หรือหมอนวด active ที่มีทักษะ</t>
  </si>
  <si>
    <t>I6</t>
  </si>
  <si>
    <t>service isActive = false</t>
  </si>
  <si>
    <t>I7</t>
  </si>
  <si>
    <t>durationOptionId ไม่มีอยู่</t>
  </si>
  <si>
    <t>I8</t>
  </si>
  <si>
    <t>durationOption เป็นของ service อื่น</t>
  </si>
  <si>
    <t>I9</t>
  </si>
  <si>
    <t>durationOption isActive = false</t>
  </si>
  <si>
    <t>I10</t>
  </si>
  <si>
    <t>startDateTime = null</t>
  </si>
  <si>
    <t>I11</t>
  </si>
  <si>
    <t>therapistId ไม่มีอยู่</t>
  </si>
  <si>
    <t>I12</t>
  </si>
  <si>
    <t>หมอนวด isActive = false</t>
  </si>
  <si>
    <t>I13</t>
  </si>
  <si>
    <t>หมอนวดไม่มีทักษะบริการนี้</t>
  </si>
  <si>
    <t>Test Case Design and Test Results</t>
  </si>
  <si>
    <t xml:space="preserve">Project Name: </t>
  </si>
  <si>
    <t>BookingServiceImpl.createBooking – ข้อมูลนำเข้าและผู้ทำรายการ</t>
  </si>
  <si>
    <t xml:space="preserve">Student ID: </t>
  </si>
  <si>
    <t xml:space="preserve">Test Strategy: </t>
  </si>
  <si>
    <t>Functional testing - Weak Robust Equivalence Class Testing</t>
  </si>
  <si>
    <t xml:space="preserve">Designer: </t>
  </si>
  <si>
    <t xml:space="preserve">Test Environtment: </t>
  </si>
  <si>
    <t>Lenovo LOQ 15AHP11, CPU AMD Ryzen 7 250, Memory 16 GB DDR5, GPU NVIDIA GeForce RTX 5050 Laptop, OS Window 11</t>
  </si>
  <si>
    <t>Date:</t>
  </si>
  <si>
    <t>09/10/2026</t>
  </si>
  <si>
    <t xml:space="preserve">Method under test: </t>
  </si>
  <si>
    <t>BookingResponseDTO createBooking(BookingRequestDTO requestDTO, User currentUser)</t>
  </si>
  <si>
    <t xml:space="preserve">Requirement อ้างอิง: </t>
  </si>
  <si>
    <t>UC-07 Preconditions • BR-RES-04 • SRS 3.3</t>
  </si>
  <si>
    <t>Test Case ID</t>
  </si>
  <si>
    <t>Input</t>
  </si>
  <si>
    <t>Expected Result</t>
  </si>
  <si>
    <t>Actual Result</t>
  </si>
  <si>
    <t>Status (Pass/Fail/No run)</t>
  </si>
  <si>
    <t>currentUser</t>
  </si>
  <si>
    <t>customerId</t>
  </si>
  <si>
    <t>serviceId</t>
  </si>
  <si>
    <t>durationOptionId</t>
  </si>
  <si>
    <t>therapistId</t>
  </si>
  <si>
    <t>startDateTime</t>
  </si>
  <si>
    <t>UT01-TC001</t>
  </si>
  <si>
    <t>Customer#1</t>
  </si>
  <si>
    <t>−</t>
  </si>
  <si>
    <t>1</t>
  </si>
  <si>
    <t>11</t>
  </si>
  <si>
    <t>5</t>
  </si>
  <si>
    <t>09/11 15:30</t>
  </si>
  <si>
    <t>(V1,V3–V6) สร้างสำเร็จ: status = PENDING, bookingChannel = ONLINE, totalPrice = 600.00, end = 16:30, therapist = T5, room เป็นห้อง SINGLE, bookingReferenceCode รูปแบบ BK-yyyyMMdd-XXXXXX, save ถูกเรียก 1 ครั้ง</t>
  </si>
  <si>
    <t>UT01-TC002</t>
  </si>
  <si>
    <t>Receptionist#50</t>
  </si>
  <si>
    <t>null</t>
  </si>
  <si>
    <t>(V2,V6) สร้างสำเร็จ: status = CONFIRMED, bookingChannel = WALK_IN, therapist ถูกจัดสรรอัตโนมัติและมีทักษะ S1</t>
  </si>
  <si>
    <t>UT01-TC003</t>
  </si>
  <si>
    <t>BusinessException 401</t>
  </si>
  <si>
    <t>UT01-TC004</t>
  </si>
  <si>
    <t>Customer#9 (ไม่มีโปรไฟล์)</t>
  </si>
  <si>
    <t>NotFoundException</t>
  </si>
  <si>
    <t>UT01-TC005</t>
  </si>
  <si>
    <t>ValidationException "Customer ID is required..."</t>
  </si>
  <si>
    <t>ValidationException</t>
  </si>
  <si>
    <t>UT01-TC006</t>
  </si>
  <si>
    <t>999</t>
  </si>
  <si>
    <t>UT01-TC007</t>
  </si>
  <si>
    <t>UT01-TC008</t>
  </si>
  <si>
    <t>3</t>
  </si>
  <si>
    <t>31</t>
  </si>
  <si>
    <t>ValidationException "Selected service is inactive"</t>
  </si>
  <si>
    <t>UT01-TC009</t>
  </si>
  <si>
    <t>UT01-TC010</t>
  </si>
  <si>
    <t>21</t>
  </si>
  <si>
    <t>ValidationException "Duration option does not belong..."</t>
  </si>
  <si>
    <t>UT01-TC011</t>
  </si>
  <si>
    <t>12</t>
  </si>
  <si>
    <t>ValidationException "Selected duration option is inactive"</t>
  </si>
  <si>
    <t>UT01-TC012</t>
  </si>
  <si>
    <t>ValidationException "Start date time is required"</t>
  </si>
  <si>
    <t>UT01-TC013</t>
  </si>
  <si>
    <t>UT01-TC014</t>
  </si>
  <si>
    <t>7</t>
  </si>
  <si>
    <t>ValidationException "Selected therapist is inactive"</t>
  </si>
  <si>
    <t>UT01-TC015</t>
  </si>
  <si>
    <t>6</t>
  </si>
  <si>
    <t>ValidationException "...does not possess the skill..."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</si>
  <si>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</si>
  <si>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</si>
  <si>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</si>
  <si>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</si>
  <si>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</si>
  <si>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</si>
  <si>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</si>
  <si>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</si>
  <si>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C1: ระบุ therapistId</t>
  </si>
  <si>
    <t>Y</t>
  </si>
  <si>
    <t>N</t>
  </si>
  <si>
    <t>C2: หมอนวดที่ระบุไม่พร้อม (isDayOff หรือเวลาจองอยู่นอกกะ)</t>
  </si>
  <si>
    <t>C3: หมอนวดที่ระบุมีคิวทับ</t>
  </si>
  <si>
    <t>C4: (ไม่ระบุ) มีหมอนวดที่มีทักษะ ไม่หยุด และว่าง ≥ 1 คน</t>
  </si>
  <si>
    <t>C5: ระบุ roomId</t>
  </si>
  <si>
    <t>C6: ห้องที่ระบุ active และประเภทตรงบริการ</t>
  </si>
  <si>
    <t>C7: ห้องที่ระบุ/ห้องผู้สมัครว่าง (รวม buffer)</t>
  </si>
  <si>
    <t>Action</t>
  </si>
  <si>
    <t>A1: ConflictException หมอนวดหยุด/นอกกะ</t>
  </si>
  <si>
    <t>X</t>
  </si>
  <si>
    <t>A2: ConflictException หมอนวดไม่ว่าง</t>
  </si>
  <si>
    <t>A3: ConflictException ไม่มีหมอนวดว่าง</t>
  </si>
  <si>
    <t>A4: ValidationException ห้องปิด/ประเภทไม่ตรง</t>
  </si>
  <si>
    <t>A5: ConflictException ห้องไม่ว่าง/ไม่มีห้องว่าง</t>
  </si>
  <si>
    <t>A6: save Booking พร้อม therapist + room</t>
  </si>
  <si>
    <t>Impossible</t>
  </si>
  <si>
    <t>ทุก rule ที่ไม่ใช่ A6 ต้องไม่เรียก bookingRepository.save</t>
  </si>
  <si>
    <t>BookingServiceImpl.createBooking – จัดสรรหมอนวดและห้อง</t>
  </si>
  <si>
    <t>673380049-4</t>
  </si>
  <si>
    <t>Functional testing - Decision Table (Limited Entry)</t>
  </si>
  <si>
    <t>Piyachayanin</t>
  </si>
  <si>
    <t>createBooking(...) ส่วนที่ 3 (หมอนวด) และ 4 (ห้อง + cleaning buffer 15 นาที)</t>
  </si>
  <si>
    <t>UC-07 A1, E2, E3 • UC-08a/08b • BR-BKG-01 • BR-RES-03 (buffer 15 นาที)</t>
  </si>
  <si>
    <t>Rule#</t>
  </si>
  <si>
    <t>roomId</t>
  </si>
  <si>
    <t>สภาพข้อมูล (mock)</t>
  </si>
  <si>
    <t>R1</t>
  </si>
  <si>
    <t>UT02-TC001</t>
  </si>
  <si>
    <t>T5 isDayOff = true วันที่ 09/11</t>
  </si>
  <si>
    <t>UT02-TC002</t>
  </si>
  <si>
    <t>T5 มีกะ 10:00–14:00 แต่จอง 15:30–16:30</t>
  </si>
  <si>
    <t>R2</t>
  </si>
  <si>
    <t>UT02-TC003</t>
  </si>
  <si>
    <t>T5 มีคิว 15:00–16:00 สถานะ CONFIRMED</t>
  </si>
  <si>
    <t>ConflictException "...already booked..."</t>
  </si>
  <si>
    <t>R3</t>
  </si>
  <si>
    <t>UT02-TC004</t>
  </si>
  <si>
    <t>ผู้มีทักษะ S1 มีแค่ T5, T8 — T5 หยุด, T8 มีคิวทับ</t>
  </si>
  <si>
    <t>ConflictException "No therapists available..."</t>
  </si>
  <si>
    <t>R4</t>
  </si>
  <si>
    <t>UT02-TC005</t>
  </si>
  <si>
    <t>201 (COUPLE)</t>
  </si>
  <si>
    <t>T5 ว่าง</t>
  </si>
  <si>
    <t>ValidationException "Selected room type COUPLE is not suitable..."</t>
  </si>
  <si>
    <t>UT02-TC006</t>
  </si>
  <si>
    <t>103 (inactive)</t>
  </si>
  <si>
    <t>ValidationException "Selected room is inactive"</t>
  </si>
  <si>
    <t>R5</t>
  </si>
  <si>
    <t>UT02-TC007</t>
  </si>
  <si>
    <t>101</t>
  </si>
  <si>
    <t>R101 มีคิว 14:00–15:20</t>
  </si>
  <si>
    <t>ConflictException "Room R101 is occupied or undergoing cleaning buffer..."</t>
  </si>
  <si>
    <t>R6</t>
  </si>
  <si>
    <t>UT02-TC008</t>
  </si>
  <si>
    <t>102</t>
  </si>
  <si>
    <t>T5 และ R102 ว่าง</t>
  </si>
  <si>
    <t>สำเร็จ: therapist = T5, room = R102</t>
  </si>
  <si>
    <t>R7</t>
  </si>
  <si>
    <t>UT02-TC009</t>
  </si>
  <si>
    <t>T8 ว่าง • R101, R102 ไม่ว่าง</t>
  </si>
  <si>
    <t>ConflictException "No suitable rooms available..."</t>
  </si>
  <si>
    <t>R8</t>
  </si>
  <si>
    <t>UT02-TC010</t>
  </si>
  <si>
    <t>T5 หยุด, T8 ว่าง • R101 ไม่ว่าง, R102 ว่าง</t>
  </si>
  <si>
    <t>สำเร็จ: therapist = T8 (ข้ามคนที่หยุด), room = R102 (ข้ามห้องไม่ว่างและห้อง COUPLE)</t>
  </si>
  <si>
    <t>ConflictException</t>
  </si>
  <si>
    <t>สำเร็จ: therapist = T8 , room = R102</t>
  </si>
  <si>
    <t>ConflictException หมอนวดนอกกะ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</si>
  <si>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</si>
  <si>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</si>
  <si>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</si>
  <si>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</si>
  <si>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</si>
  <si>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</si>
  <si>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</si>
  <si>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</si>
  <si>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</si>
  <si>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</si>
  <si>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DEF-001</t>
  </si>
  <si>
    <t>Open</t>
  </si>
  <si>
    <t>High</t>
  </si>
  <si>
    <t>จองหมอนวดนอกกะทำงานได้ (ตรวจแค่ isDayOff)</t>
  </si>
  <si>
    <t>service/impl/BookingServiceImpl.java และ AvailabilityServiceImpl.java ไม่เทียบ WorkShift • ผิด UC-08b • UT02-TC002</t>
  </si>
  <si>
    <t>UT02 – BookingServiceImpl.createBooking – จัดสรรหมอนวดและห้อง</t>
  </si>
  <si>
    <t>Decision Table (Limited Entry)</t>
  </si>
  <si>
    <t>lead (นาทีล่วงหน้า)</t>
  </si>
  <si>
    <t>เวลาเริ่ม (บริการ 60 นาที)</t>
  </si>
  <si>
    <t>min-</t>
  </si>
  <si>
    <t>29</t>
  </si>
  <si>
    <t>09:59</t>
  </si>
  <si>
    <t>BookingServiceImpl.createBooking – ช่วงเวลาที่จองได้</t>
  </si>
  <si>
    <t>min</t>
  </si>
  <si>
    <t>30</t>
  </si>
  <si>
    <t>10:00</t>
  </si>
  <si>
    <t>Functional testing - Robustness Testing</t>
  </si>
  <si>
    <t>min+</t>
  </si>
  <si>
    <t>10:01</t>
  </si>
  <si>
    <t>nom</t>
  </si>
  <si>
    <t>10110</t>
  </si>
  <si>
    <t>15:30</t>
  </si>
  <si>
    <t>createBooking(...) – เงื่อนไขของ startDateTime</t>
  </si>
  <si>
    <t>max-</t>
  </si>
  <si>
    <t>20159</t>
  </si>
  <si>
    <t>20:59</t>
  </si>
  <si>
    <t>20160</t>
  </si>
  <si>
    <t>21:00</t>
  </si>
  <si>
    <t>BR-BKG-02 Operating Hours • BR-BKG-03 (ล่วงหน้า ≥ 30 นาที) • SRS 3.3 Step 2 (สูงสุด 14 วัน) • ดู Q2</t>
  </si>
  <si>
    <t>max+</t>
  </si>
  <si>
    <t>20161</t>
  </si>
  <si>
    <t>21:01</t>
  </si>
  <si>
    <t>lead (นาที)</t>
  </si>
  <si>
    <t>เวลาเริ่ม</t>
  </si>
  <si>
    <t>UT03-TC001</t>
  </si>
  <si>
    <t>2026-11-09 15:30</t>
  </si>
  <si>
    <t>สร้างสำเร็จ status = PENDING</t>
  </si>
  <si>
    <t>UT03-TC002</t>
  </si>
  <si>
    <t>2026-11-02 15:29</t>
  </si>
  <si>
    <t>15:29</t>
  </si>
  <si>
    <t>ValidationException ต้องจองล่วงหน้าอย่างน้อย 30 นาที</t>
  </si>
  <si>
    <t>UT03-TC003</t>
  </si>
  <si>
    <t>2026-11-02 15:30</t>
  </si>
  <si>
    <t>สร้างสำเร็จ</t>
  </si>
  <si>
    <t>UT03-TC004</t>
  </si>
  <si>
    <t>2026-11-02 15:31</t>
  </si>
  <si>
    <t>15:31</t>
  </si>
  <si>
    <t>UT03-TC005</t>
  </si>
  <si>
    <t>2026-11-16 14:59</t>
  </si>
  <si>
    <t>14:59</t>
  </si>
  <si>
    <t>UT03-TC006</t>
  </si>
  <si>
    <t>2026-11-16 15:00</t>
  </si>
  <si>
    <t>15:00</t>
  </si>
  <si>
    <t>UT03-TC007</t>
  </si>
  <si>
    <t>2026-11-16 15:01</t>
  </si>
  <si>
    <t>15:01</t>
  </si>
  <si>
    <t>ValidationException จองล่วงหน้าได้ไม่เกิน 14 วัน</t>
  </si>
  <si>
    <t>UT03-TC008</t>
  </si>
  <si>
    <t>2026-11-09 09:59</t>
  </si>
  <si>
    <t>9779</t>
  </si>
  <si>
    <t>ValidationException เริ่มก่อนร้านเปิด</t>
  </si>
  <si>
    <t>UT03-TC009</t>
  </si>
  <si>
    <t>2026-11-09 10:00</t>
  </si>
  <si>
    <t>9780</t>
  </si>
  <si>
    <t>UT03-TC010</t>
  </si>
  <si>
    <t>2026-11-09 10:01</t>
  </si>
  <si>
    <t>9781</t>
  </si>
  <si>
    <t>UT03-TC011</t>
  </si>
  <si>
    <t>2026-11-09 20:59</t>
  </si>
  <si>
    <t>10439</t>
  </si>
  <si>
    <t>UT03-TC012</t>
  </si>
  <si>
    <t>2026-11-09 21:00</t>
  </si>
  <si>
    <t>10440</t>
  </si>
  <si>
    <t>สร้างสำเร็จ (จบ 22:00 พอดี)</t>
  </si>
  <si>
    <t>UT03-TC013</t>
  </si>
  <si>
    <t>2026-11-09 21:01</t>
  </si>
  <si>
    <t>10441</t>
  </si>
  <si>
    <t>ValidationException จบ 22:01 เกินเวลาปิดร้าน</t>
  </si>
  <si>
    <t>UT03 – BookingServiceImpl.createBooking – ช่วงเวลาที่จองได้</t>
  </si>
  <si>
    <t>Robustness Testing</t>
  </si>
  <si>
    <t>DEF-002</t>
  </si>
  <si>
    <t>createBooking ไม่ตรวจเวลา: จองย้อนหลัง, จองกระชั้นกว่า 30 นาที, เกิน 14 วัน, นอกเวลาทำการได้</t>
  </si>
  <si>
    <t>service/impl/BookingServiceImpl.java startDateTime ≠ null • ผิด BR-BKG-02, BR-BKG-03 • UT03-TC002, TC007, TC008, TC013</t>
  </si>
  <si>
    <t>ห้อง: end เดิม→start ใหม่</t>
  </si>
  <si>
    <t>ห้อง: end ใหม่→start เดิม</t>
  </si>
  <si>
    <t>หมอนวด: end เดิม→start ใหม่</t>
  </si>
  <si>
    <t>หมอนวด: end ใหม่→start เดิม</t>
  </si>
  <si>
    <t>ขอบ-1</t>
  </si>
  <si>
    <t>14</t>
  </si>
  <si>
    <t>-1</t>
  </si>
  <si>
    <t>BookingRepository.findConflictingRoomBookingsWithCleaningBuffer + createBooking – เวลาทับซ้อน</t>
  </si>
  <si>
    <t>ขอบ</t>
  </si>
  <si>
    <t>15</t>
  </si>
  <si>
    <t>0</t>
  </si>
  <si>
    <t>Functional testing - Robustness Testing (ขอบด้านเดียว)</t>
  </si>
  <si>
    <t>ขอบ+1</t>
  </si>
  <si>
    <t>16</t>
  </si>
  <si>
    <t>120</t>
  </si>
  <si>
    <t>default findConflictingRoomBookingsWithCleaningBuffer(roomId, start, end, 15, excluded) และ findConflictingTherapistBookings(...)</t>
  </si>
  <si>
    <t>ทรัพยากร</t>
  </si>
  <si>
    <t>start ใหม่</t>
  </si>
  <si>
    <t>end ใหม่</t>
  </si>
  <si>
    <t>ระยะห่าง (นาที)</t>
  </si>
  <si>
    <t>UT04-TC001</t>
  </si>
  <si>
    <t>R101 + T1</t>
  </si>
  <si>
    <t>16:00</t>
  </si>
  <si>
    <t>17:00</t>
  </si>
  <si>
    <t>จองสำเร็จ (nom)</t>
  </si>
  <si>
    <t>จองสำเร็จ</t>
  </si>
  <si>
    <t>UT04-TC002</t>
  </si>
  <si>
    <t>ห้อง R101</t>
  </si>
  <si>
    <t>14:14</t>
  </si>
  <si>
    <t>15:14</t>
  </si>
  <si>
    <t>ConflictException ห้องไม่ว่าง (ยังอยู่ใน buffer)</t>
  </si>
  <si>
    <t>UT04-TC003</t>
  </si>
  <si>
    <t>14:15</t>
  </si>
  <si>
    <t>15:15</t>
  </si>
  <si>
    <t>UT04-TC004</t>
  </si>
  <si>
    <t>14:16</t>
  </si>
  <si>
    <t>15:16</t>
  </si>
  <si>
    <t>UT04-TC005</t>
  </si>
  <si>
    <t>11:46</t>
  </si>
  <si>
    <t>12:46</t>
  </si>
  <si>
    <t>ConflictException ห้องไม่ว่าง</t>
  </si>
  <si>
    <t>UT04-TC006</t>
  </si>
  <si>
    <t>11:45</t>
  </si>
  <si>
    <t>12:45</t>
  </si>
  <si>
    <t>UT04-TC007</t>
  </si>
  <si>
    <t>11:44</t>
  </si>
  <si>
    <t>12:44</t>
  </si>
  <si>
    <t>UT04-TC008</t>
  </si>
  <si>
    <t>หมอนวด T1</t>
  </si>
  <si>
    <t>13:59</t>
  </si>
  <si>
    <t>ConflictException หมอนวดไม่ว่าง</t>
  </si>
  <si>
    <t>UT04-TC009</t>
  </si>
  <si>
    <t>14:00</t>
  </si>
  <si>
    <t>UT04-TC010</t>
  </si>
  <si>
    <t>14:01</t>
  </si>
  <si>
    <t>UT04-TC011</t>
  </si>
  <si>
    <t>12:01</t>
  </si>
  <si>
    <t>13:01</t>
  </si>
  <si>
    <t>UT04-TC012</t>
  </si>
  <si>
    <t>12:00</t>
  </si>
  <si>
    <t>13:00</t>
  </si>
  <si>
    <t>UT04-TC013</t>
  </si>
  <si>
    <t>11:59</t>
  </si>
  <si>
    <t>12:59</t>
  </si>
  <si>
    <t>Equivalence class</t>
  </si>
  <si>
    <t>EC1 (ผู้ใช้) = { null, CUSTOMER, STAFF (RECEPTIONIST/OWNER) }</t>
  </si>
  <si>
    <t>EC2 (สถานะ) = { PC = PENDING/CONFIRMED, CI = CHECKED_IN, END = IN_SERVICE/COMPLETED/CANCELLED/NO_SHOW }</t>
  </si>
  <si>
    <t>EC3 (เวลาก่อนเริ่ม) = { ≥ 2 ชม., &lt; 2 ชม. }</t>
  </si>
  <si>
    <t>Rule#9</t>
  </si>
  <si>
    <t>Rule#10</t>
  </si>
  <si>
    <t>C1: currentUser</t>
  </si>
  <si>
    <t>CUST</t>
  </si>
  <si>
    <t>STAFF</t>
  </si>
  <si>
    <t>C2: พบ booking</t>
  </si>
  <si>
    <t>C3: เป็นเจ้าของ booking</t>
  </si>
  <si>
    <t>C4: เวลาก่อนเริ่ม</t>
  </si>
  <si>
    <t>&lt; 2</t>
  </si>
  <si>
    <t>≥ 2</t>
  </si>
  <si>
    <t>C5: สถานะ</t>
  </si>
  <si>
    <t>PC</t>
  </si>
  <si>
    <t>END</t>
  </si>
  <si>
    <t>CI</t>
  </si>
  <si>
    <t>C6: ชำระเงินแล้ว</t>
  </si>
  <si>
    <t>A1: BusinessException 401</t>
  </si>
  <si>
    <t>A2: NotFoundException</t>
  </si>
  <si>
    <t>A3: BusinessException 403</t>
  </si>
  <si>
    <t>A4: ValidationException ยกเลิกกระชั้นชิด</t>
  </si>
  <si>
    <t>A5: ValidationException สถานะยกเลิกไม่ได้ (State)</t>
  </si>
  <si>
    <t>A6: status = CANCELLED + บันทึกเหตุผลใน specialNotes</t>
  </si>
  <si>
    <t>A7: ส่งคืนเงินเต็มจำนวน (RefundService)</t>
  </si>
  <si>
    <t>R1 = null ทำงานก่อนค้นหา booking (โค้ดตรวจ currentUser ก่อน) • A5 มาจาก AbstractBookingState.throwInvalidTransition</t>
  </si>
  <si>
    <t>BookingServiceImpl.cancelBooking – ยกเลิกการจอง</t>
  </si>
  <si>
    <t>Functional testing - Decision Table (Extended Entry)</t>
  </si>
  <si>
    <t>BookingResponseDTO cancelBooking(Long id, CancelBookingRequestDTO dto, User currentUser)</t>
  </si>
  <si>
    <t>bookingId</t>
  </si>
  <si>
    <t>สถานะ / start</t>
  </si>
  <si>
    <t>dto.reason / Payment</t>
  </si>
  <si>
    <t>UT05-TC001</t>
  </si>
  <si>
    <t>10</t>
  </si>
  <si>
    <t>CONFIRMED / 03/11 15:00</t>
  </si>
  <si>
    <t>UT05-TC002</t>
  </si>
  <si>
    <t>UT05-TC003</t>
  </si>
  <si>
    <t>Customer#2</t>
  </si>
  <si>
    <t>BusinessException 403 • สถานะคง CONFIRMED • save ไม่ถูกเรียก</t>
  </si>
  <si>
    <t>BusinessException 403</t>
  </si>
  <si>
    <t>UT05-TC004</t>
  </si>
  <si>
    <t>CONFIRMED / 02/11 16:00 (1 ชม.)</t>
  </si>
  <si>
    <t>ValidationException "...at least 2 hours..." • สถานะคงเดิม</t>
  </si>
  <si>
    <t>UT05-TC005</t>
  </si>
  <si>
    <t>13</t>
  </si>
  <si>
    <t>PENDING / 03/11 15:00</t>
  </si>
  <si>
    <t>reason = "ติดธุระ" / ไม่มี</t>
  </si>
  <si>
    <t>status = CANCELLED • specialNotes ลงท้าย "[Cancelled by CUSTOMER: ติดธุระ]" • save 1 ครั้ง</t>
  </si>
  <si>
    <t>CANCELLED</t>
  </si>
  <si>
    <t>UT05-TC006</t>
  </si>
  <si>
    <t>20</t>
  </si>
  <si>
    <t>CONFIRMED / 03/11 15:00, notes เดิม "ปวดหลัง"</t>
  </si>
  <si>
    <t>dto = null / ไม่มี</t>
  </si>
  <si>
    <t>status = CANCELLED • specialNotes = "ปวดหลัง [Cancelled by CUSTOMER: Cancelled by user]"</t>
  </si>
  <si>
    <t>UT05-TC007</t>
  </si>
  <si>
    <t>− / COMPLETED 600.00</t>
  </si>
  <si>
    <t xml:space="preserve">status = CANCELLED และส่งคืนเงิน 600.00 </t>
  </si>
  <si>
    <t>COMPLETED</t>
  </si>
  <si>
    <t>UT05-TC008</t>
  </si>
  <si>
    <t>18</t>
  </si>
  <si>
    <t>CANCELLED / 03/11 15:00</t>
  </si>
  <si>
    <t>ValidationException "Cannot execute action 'cancel' from booking status CANCELLED"</t>
  </si>
  <si>
    <t>UT05-TC009</t>
  </si>
  <si>
    <t>status = CANCELLED (พนักงานไม่ติดกฎ 2 ชม.) • note "[Cancelled by RECEPTIONIST: ...]"</t>
  </si>
  <si>
    <t>R9</t>
  </si>
  <si>
    <t>UT05-TC010</t>
  </si>
  <si>
    <t>Owner#60</t>
  </si>
  <si>
    <t>CHECKED_IN / 02/11 15:20</t>
  </si>
  <si>
    <t>status = CANCELLED (ยกเลิกฉุกเฉินหน้าร้าน)</t>
  </si>
  <si>
    <t>R10</t>
  </si>
  <si>
    <t>UT05-TC011</t>
  </si>
  <si>
    <t>17</t>
  </si>
  <si>
    <t>COMPLETED / 02/11 10:00</t>
  </si>
  <si>
    <t>ValidationException • สถานะคง COMPLETED</t>
  </si>
  <si>
    <t>UT05-TC012</t>
  </si>
  <si>
    <t>IN_SERVICE / 02/11 14:30</t>
  </si>
  <si>
    <t>ValidationException • สถานะคง IN_SERVICE</t>
  </si>
  <si>
    <t>ยกเลิก booking ที่จ่ายเงินแล้วไม่ส่งเข้ากระบวนการคืนเงิน</t>
  </si>
  <si>
    <t>Medium</t>
  </si>
  <si>
    <t>service/impl/BookingServiceImpl.java cancelBooking (บรรทัด 270–300) • ผิด UC-10 A1 • UT05-TC007</t>
  </si>
  <si>
    <t>cancelBooking / updateBookingStatus ไม่ publish BookingStatusChangedEvent</t>
  </si>
  <si>
    <t>Low</t>
  </si>
  <si>
    <t>service/impl/BookingServiceImpl.java • Observer (NotificationListener, QueueListener) ไม่ทำงานเมื่อเปลี่ยนสถานะผ่าน 2 เมธอดนี้ • UT05-TC005</t>
  </si>
  <si>
    <t>DEF-003</t>
  </si>
  <si>
    <t>DEF-004</t>
  </si>
  <si>
    <t>UC-10 (Main, A1, E1) • BR-BKG-04 • BR-SEC-01 • UC-5.1 • ดู Q3</t>
  </si>
  <si>
    <t>BR-BKG-01 • BR-RES-03 • UC 6.1–6.2</t>
  </si>
  <si>
    <t>UT04 – BookingRepository.findConflictingRoomBookingsWithCleaningBuffer + createBooking – เวลาทับซ้อน</t>
  </si>
  <si>
    <t>Robustness Testing (ขอบด้านเดียว)</t>
  </si>
  <si>
    <t>UT05 – BookingServiceImpl.cancelBooking – ยกเลิกการจอง</t>
  </si>
  <si>
    <t>Decision Table (Extended Entry)</t>
  </si>
  <si>
    <t>เวลาก่อนเริ่ม (นาที)</t>
  </si>
  <si>
    <t>นอกโดเมน</t>
  </si>
  <si>
    <t>-10</t>
  </si>
  <si>
    <t>BookingServiceImpl.cancelBooking – กฎลูกค้ายกเลิกล่วงหน้า ≥ 2 ชั่วโมง</t>
  </si>
  <si>
    <t>119</t>
  </si>
  <si>
    <t>121</t>
  </si>
  <si>
    <t>1440</t>
  </si>
  <si>
    <t>BR-BKG-04 • UC-10 E1</t>
  </si>
  <si>
    <t>start ของ booking</t>
  </si>
  <si>
    <t>UT06-TC001</t>
  </si>
  <si>
    <t>2026-11-03 15:00</t>
  </si>
  <si>
    <t>status = CANCELLED</t>
  </si>
  <si>
    <t>UT06-TC002</t>
  </si>
  <si>
    <t>2026-11-02 16:59</t>
  </si>
  <si>
    <t>ValidationException ยกเลิกกระชั้นชิด • สถานะคง CONFIRMED</t>
  </si>
  <si>
    <t>UT06-TC003</t>
  </si>
  <si>
    <t>2026-11-02 17:00</t>
  </si>
  <si>
    <t>UT06-TC004</t>
  </si>
  <si>
    <t>2026-11-02 17:01</t>
  </si>
  <si>
    <t>UT06-TC005</t>
  </si>
  <si>
    <t>2026-11-02 14:50</t>
  </si>
  <si>
    <t>ValidationException • สถานะคง CONFIRMED</t>
  </si>
  <si>
    <t xml:space="preserve">cancelBooking(...) </t>
  </si>
  <si>
    <t>C1: currentUser = null</t>
  </si>
  <si>
    <t>C3: role = CUSTOMER</t>
  </si>
  <si>
    <t>C4: role = THERAPIST</t>
  </si>
  <si>
    <t>C5: เป็นเจ้าของ / หมอนวดที่ได้รับมอบหมาย</t>
  </si>
  <si>
    <t>A4: คืน BookingResponseDTO</t>
  </si>
  <si>
    <t>C3 และ C4 เป็น Y พร้อมกันไม่ได้ จึงไม่มี rule นั้น</t>
  </si>
  <si>
    <t>BookingServiceImpl.getBookingById – สิทธิ์การดูรายการจอง</t>
  </si>
  <si>
    <t>BookingResponseDTO getBookingById(Long id, User currentUser)</t>
  </si>
  <si>
    <t>UC-09 • BR-SEC-01 • BR-SEC-02</t>
  </si>
  <si>
    <t>id</t>
  </si>
  <si>
    <t>UT07-TC001</t>
  </si>
  <si>
    <t>UT07-TC002</t>
  </si>
  <si>
    <t>UT07-TC003</t>
  </si>
  <si>
    <t>คืน DTO id = 10</t>
  </si>
  <si>
    <t>UT07-TC004</t>
  </si>
  <si>
    <t>UT07-TC005</t>
  </si>
  <si>
    <t>Therapist T5</t>
  </si>
  <si>
    <t>UT07-TC006</t>
  </si>
  <si>
    <t>Therapist T8</t>
  </si>
  <si>
    <t>UT07-TC007</t>
  </si>
  <si>
    <t>30 (therapist = null)</t>
  </si>
  <si>
    <t>BusinessException 403 (ไม่เกิด NullPointerException)</t>
  </si>
  <si>
    <t>UT07-TC008</t>
  </si>
  <si>
    <t>EC1 (สถานะปัจจุบัน) = { PENDING, CONFIRMED, CHECKED_IN, IN_SERVICE, COMPLETED, CANCELLED, NO_SHOW }</t>
  </si>
  <si>
    <t>EC2 (action) = { confirm, checkIn, startService, complete, cancel, markNoShow }</t>
  </si>
  <si>
    <t>ตารางด้านล่าง: แถว = action, คอลัมน์ Rule = สถานะปัจจุบัน, ช่อง = สถานะปลายทาง (✗ = ต้องโยน ValidationException)</t>
  </si>
  <si>
    <t>C1: สถานะปัจจุบัน</t>
  </si>
  <si>
    <t>PENDING</t>
  </si>
  <si>
    <t>CONFIRMED</t>
  </si>
  <si>
    <t>CHECKED_IN</t>
  </si>
  <si>
    <t>IN_SERVICE</t>
  </si>
  <si>
    <t>NO_SHOW</t>
  </si>
  <si>
    <t>C2 = confirm()</t>
  </si>
  <si>
    <t>→ CONFIRMED</t>
  </si>
  <si>
    <t>✗</t>
  </si>
  <si>
    <t>C2 = checkIn()</t>
  </si>
  <si>
    <t>→ CHECKED_IN</t>
  </si>
  <si>
    <t>C2 = startService()</t>
  </si>
  <si>
    <t>→ IN_SERVICE</t>
  </si>
  <si>
    <t>C2 = complete()</t>
  </si>
  <si>
    <t>→ COMPLETED *</t>
  </si>
  <si>
    <t>C2 = cancel()</t>
  </si>
  <si>
    <t>→ CANCELLED</t>
  </si>
  <si>
    <t>C2 = markNoShow()</t>
  </si>
  <si>
    <t>→ NO_SHOW</t>
  </si>
  <si>
    <t>A1: เปลี่ยนสถานะตามช่อง</t>
  </si>
  <si>
    <t>A2: ✗ → ValidationException + สถานะคงเดิม</t>
  </si>
  <si>
    <t>* complete() จาก IN_SERVICE ต้องมี Payment สถานะ COMPLETED</t>
  </si>
  <si>
    <t>Booking State Pattern (Booking.confirm/checkIn/startService/complete/cancel/markNoShow)</t>
  </si>
  <si>
    <t>Functional testing - Decision Table (Extended Entry) แบบ State Transition Table</t>
  </si>
  <si>
    <t>Booking.&lt;action&gt;() → BookingStateFactory.getState(status).&lt;action&gt;(booking) ใน pattern/state/*</t>
  </si>
  <si>
    <t>SRS 7.1 • UC §5, §5.1 • UC-14 • BR-QUE-03</t>
  </si>
  <si>
    <t>สถานะปัจจุบัน</t>
  </si>
  <si>
    <t>Payment</t>
  </si>
  <si>
    <t>PENDING/confirm()</t>
  </si>
  <si>
    <t>UT08-TC001</t>
  </si>
  <si>
    <t>confirm()</t>
  </si>
  <si>
    <t>status = CONFIRMED</t>
  </si>
  <si>
    <t>PENDING/checkIn()</t>
  </si>
  <si>
    <t>UT08-TC002</t>
  </si>
  <si>
    <t>checkIn()</t>
  </si>
  <si>
    <t>ValidationException "Cannot execute action 'checkIn' from booking status PENDING" • สถานะคงเดิม</t>
  </si>
  <si>
    <t>PENDING/startService()</t>
  </si>
  <si>
    <t>UT08-TC003</t>
  </si>
  <si>
    <t>startService()</t>
  </si>
  <si>
    <t>ValidationException "Cannot execute action 'startService' from booking status PENDING" • สถานะคงเดิม</t>
  </si>
  <si>
    <t>PENDING/complete()</t>
  </si>
  <si>
    <t>UT08-TC004</t>
  </si>
  <si>
    <t>complete()</t>
  </si>
  <si>
    <t>ValidationException "Cannot execute action 'complete' from booking status PENDING" • สถานะคงเดิม</t>
  </si>
  <si>
    <t>PENDING/cancel()</t>
  </si>
  <si>
    <t>UT08-TC005</t>
  </si>
  <si>
    <t>cancel()</t>
  </si>
  <si>
    <t>PENDING/markNoShow()</t>
  </si>
  <si>
    <t>UT08-TC006</t>
  </si>
  <si>
    <t>markNoShow()</t>
  </si>
  <si>
    <t>ValidationException "Cannot execute action 'markNoShow' from booking status PENDING" • สถานะคงเดิม</t>
  </si>
  <si>
    <t>CONFIRMED/confirm()</t>
  </si>
  <si>
    <t>UT08-TC007</t>
  </si>
  <si>
    <t>ValidationException "Cannot execute action 'confirm' from booking status CONFIRMED" • สถานะคงเดิม</t>
  </si>
  <si>
    <t>CONFIRMED/checkIn()</t>
  </si>
  <si>
    <t>UT08-TC008</t>
  </si>
  <si>
    <t>status = CHECKED_IN</t>
  </si>
  <si>
    <t>CONFIRMED/startService()</t>
  </si>
  <si>
    <t>UT08-TC009</t>
  </si>
  <si>
    <t>ValidationException "Cannot execute action 'startService' from booking status CONFIRMED" • สถานะคงเดิม</t>
  </si>
  <si>
    <t>CONFIRMED/complete()</t>
  </si>
  <si>
    <t>UT08-TC010</t>
  </si>
  <si>
    <t>ValidationException "Cannot execute action 'complete' from booking status CONFIRMED" • สถานะคงเดิม</t>
  </si>
  <si>
    <t>CONFIRMED/cancel()</t>
  </si>
  <si>
    <t>UT08-TC011</t>
  </si>
  <si>
    <t>CONFIRMED/markNoShow()</t>
  </si>
  <si>
    <t>UT08-TC012</t>
  </si>
  <si>
    <t>status = NO_SHOW</t>
  </si>
  <si>
    <t>CHECKED_IN/confirm()</t>
  </si>
  <si>
    <t>UT08-TC013</t>
  </si>
  <si>
    <t>ValidationException "Cannot execute action 'confirm' from booking status CHECKED_IN" • สถานะคงเดิม</t>
  </si>
  <si>
    <t>CHECKED_IN/checkIn()</t>
  </si>
  <si>
    <t>UT08-TC014</t>
  </si>
  <si>
    <t>ValidationException "Cannot execute action 'checkIn' from booking status CHECKED_IN" • สถานะคงเดิม</t>
  </si>
  <si>
    <t>CHECKED_IN/startService()</t>
  </si>
  <si>
    <t>UT08-TC015</t>
  </si>
  <si>
    <t>status = IN_SERVICE และตั้ง actualStartTime</t>
  </si>
  <si>
    <t>CHECKED_IN/complete()</t>
  </si>
  <si>
    <t>UT08-TC016</t>
  </si>
  <si>
    <t>ValidationException "Cannot execute action 'complete' from booking status CHECKED_IN" • สถานะคงเดิม</t>
  </si>
  <si>
    <t>CHECKED_IN/cancel()</t>
  </si>
  <si>
    <t>UT08-TC017</t>
  </si>
  <si>
    <t>CHECKED_IN/markNoShow()</t>
  </si>
  <si>
    <t>UT08-TC018</t>
  </si>
  <si>
    <t>ValidationException "Cannot execute action 'markNoShow' from booking status CHECKED_IN" • สถานะคงเดิม</t>
  </si>
  <si>
    <t>IN_SERVICE/confirm()</t>
  </si>
  <si>
    <t>UT08-TC019</t>
  </si>
  <si>
    <t>ValidationException "Cannot execute action 'confirm' from booking status IN_SERVICE" • สถานะคงเดิม</t>
  </si>
  <si>
    <t>IN_SERVICE/checkIn()</t>
  </si>
  <si>
    <t>UT08-TC020</t>
  </si>
  <si>
    <t>ValidationException "Cannot execute action 'checkIn' from booking status IN_SERVICE" • สถานะคงเดิม</t>
  </si>
  <si>
    <t>IN_SERVICE/startService()</t>
  </si>
  <si>
    <t>UT08-TC021</t>
  </si>
  <si>
    <t>ValidationException "Cannot execute action 'startService' from booking status IN_SERVICE" • สถานะคงเดิม</t>
  </si>
  <si>
    <t>IN_SERVICE/complete()</t>
  </si>
  <si>
    <t>UT08-TC022</t>
  </si>
  <si>
    <t>status = COMPLETED และตั้ง actualEndTime</t>
  </si>
  <si>
    <t>UT08-TC023</t>
  </si>
  <si>
    <t>PENDING หรือไม่มี</t>
  </si>
  <si>
    <t>ValidationException ต้องชำระเงินก่อน • สถานะคง IN_SERVICE</t>
  </si>
  <si>
    <t>IN_SERVICE/cancel()</t>
  </si>
  <si>
    <t>UT08-TC024</t>
  </si>
  <si>
    <t>ValidationException "Cannot execute action 'cancel' from booking status IN_SERVICE" • สถานะคงเดิม</t>
  </si>
  <si>
    <t>IN_SERVICE/markNoShow()</t>
  </si>
  <si>
    <t>UT08-TC025</t>
  </si>
  <si>
    <t>ValidationException "Cannot execute action 'markNoShow' from booking status IN_SERVICE" • สถานะคงเดิม</t>
  </si>
  <si>
    <t>COMPLETED/confirm()</t>
  </si>
  <si>
    <t>UT08-TC026</t>
  </si>
  <si>
    <t>ValidationException "Cannot execute action 'confirm' from booking status COMPLETED" • สถานะคงเดิม</t>
  </si>
  <si>
    <t>COMPLETED/checkIn()</t>
  </si>
  <si>
    <t>UT08-TC027</t>
  </si>
  <si>
    <t>ValidationException "Cannot execute action 'checkIn' from booking status COMPLETED" • สถานะคงเดิม</t>
  </si>
  <si>
    <t>COMPLETED/startService()</t>
  </si>
  <si>
    <t>UT08-TC028</t>
  </si>
  <si>
    <t>ValidationException "Cannot execute action 'startService' from booking status COMPLETED" • สถานะคงเดิม</t>
  </si>
  <si>
    <t>COMPLETED/complete()</t>
  </si>
  <si>
    <t>UT08-TC029</t>
  </si>
  <si>
    <t>ValidationException "Cannot execute action 'complete' from booking status COMPLETED" • สถานะคงเดิม</t>
  </si>
  <si>
    <t>COMPLETED/cancel()</t>
  </si>
  <si>
    <t>UT08-TC030</t>
  </si>
  <si>
    <t>ValidationException "Cannot execute action 'cancel' from booking status COMPLETED" • สถานะคงเดิม</t>
  </si>
  <si>
    <t>COMPLETED/markNoShow()</t>
  </si>
  <si>
    <t>UT08-TC031</t>
  </si>
  <si>
    <t>ValidationException "Cannot execute action 'markNoShow' from booking status COMPLETED" • สถานะคงเดิม</t>
  </si>
  <si>
    <t>CANCELLED/confirm()</t>
  </si>
  <si>
    <t>UT08-TC032</t>
  </si>
  <si>
    <t>ValidationException "Cannot execute action 'confirm' from booking status CANCELLED" • สถานะคงเดิม</t>
  </si>
  <si>
    <t>CANCELLED/checkIn()</t>
  </si>
  <si>
    <t>UT08-TC033</t>
  </si>
  <si>
    <t>ValidationException "Cannot execute action 'checkIn' from booking status CANCELLED" • สถานะคงเดิม</t>
  </si>
  <si>
    <t>CANCELLED/startService()</t>
  </si>
  <si>
    <t>UT08-TC034</t>
  </si>
  <si>
    <t>ValidationException "Cannot execute action 'startService' from booking status CANCELLED" • สถานะคงเดิม</t>
  </si>
  <si>
    <t>CANCELLED/complete()</t>
  </si>
  <si>
    <t>UT08-TC035</t>
  </si>
  <si>
    <t>ValidationException "Cannot execute action 'complete' from booking status CANCELLED" • สถานะคงเดิม</t>
  </si>
  <si>
    <t>CANCELLED/cancel()</t>
  </si>
  <si>
    <t>UT08-TC036</t>
  </si>
  <si>
    <t>ValidationException "Cannot execute action 'cancel' from booking status CANCELLED" • สถานะคงเดิม</t>
  </si>
  <si>
    <t>CANCELLED/markNoShow()</t>
  </si>
  <si>
    <t>UT08-TC037</t>
  </si>
  <si>
    <t>ValidationException "Cannot execute action 'markNoShow' from booking status CANCELLED" • สถานะคงเดิม</t>
  </si>
  <si>
    <t>NO_SHOW/confirm()</t>
  </si>
  <si>
    <t>UT08-TC038</t>
  </si>
  <si>
    <t>ValidationException "Cannot execute action 'confirm' from booking status NO_SHOW" • สถานะคงเดิม</t>
  </si>
  <si>
    <t>NO_SHOW/checkIn()</t>
  </si>
  <si>
    <t>UT08-TC039</t>
  </si>
  <si>
    <t>ValidationException "Cannot execute action 'checkIn' from booking status NO_SHOW" • สถานะคงเดิม</t>
  </si>
  <si>
    <t>NO_SHOW/startService()</t>
  </si>
  <si>
    <t>UT08-TC040</t>
  </si>
  <si>
    <t>ValidationException "Cannot execute action 'startService' from booking status NO_SHOW" • สถานะคงเดิม</t>
  </si>
  <si>
    <t>NO_SHOW/complete()</t>
  </si>
  <si>
    <t>UT08-TC041</t>
  </si>
  <si>
    <t>ValidationException "Cannot execute action 'complete' from booking status NO_SHOW" • สถานะคงเดิม</t>
  </si>
  <si>
    <t>NO_SHOW/cancel()</t>
  </si>
  <si>
    <t>UT08-TC042</t>
  </si>
  <si>
    <t>ValidationException "Cannot execute action 'cancel' from booking status NO_SHOW" • สถานะคงเดิม</t>
  </si>
  <si>
    <t>NO_SHOW/markNoShow()</t>
  </si>
  <si>
    <t>UT08-TC043</t>
  </si>
  <si>
    <t>ValidationException "Cannot execute action 'markNoShow' from booking status NO_SHOW" • สถานะคงเดิม</t>
  </si>
  <si>
    <t>updateBookingStatus</t>
  </si>
  <si>
    <t>UT08-TC044</t>
  </si>
  <si>
    <t>updateBookingStatus(PENDING)</t>
  </si>
  <si>
    <t>ValidationException "Cannot transition booking back to PENDING"</t>
  </si>
  <si>
    <t>UT08-TC045</t>
  </si>
  <si>
    <t>CONFIRMED เริ่มอีก 1 วัน</t>
  </si>
  <si>
    <t>updateBookingStatus(NO_SHOW)</t>
  </si>
  <si>
    <t xml:space="preserve">ValidationException ยังไม่เลยเวลานัด 15 นาที </t>
  </si>
  <si>
    <t>nothing was thrown</t>
  </si>
  <si>
    <t>DEF-009</t>
  </si>
  <si>
    <t>เปลี่ยนเป็น NO_SHOW ได้ทันทีโดยไม่ตรวจว่าเลยเวลานัด 15 นาที</t>
  </si>
  <si>
    <t>DEF-005</t>
  </si>
  <si>
    <t>service/impl/BookingServiceImpl.java ConfirmedState.markNoShow • ผิด BR-BKG-05 • UT08 เคสสุดท้าย</t>
  </si>
  <si>
    <t>UT06 – BookingServiceImpl.cancelBooking – กฎลูกค้ายกเลิกล่วงหน้า ≥ 2 ชั่วโมง</t>
  </si>
  <si>
    <t>UT07 – BookingServiceImpl.getBookingById – สิทธิ์การดูรายการจอง</t>
  </si>
  <si>
    <t>UT08 – Booking State Pattern (Booking.confirm/checkIn/startService/complete/cancel/markNoShow)</t>
  </si>
  <si>
    <t>Decision Table (Extended Entry) แบบ State Transition Table</t>
  </si>
  <si>
    <t>status = PENDING</t>
  </si>
  <si>
    <t>ไม่มี: ทุกค่าของ enum ใช้ได้</t>
  </si>
  <si>
    <t>status = IN_SERVICE</t>
  </si>
  <si>
    <t>status = COMPLETED</t>
  </si>
  <si>
    <t>V7</t>
  </si>
  <si>
    <t>V8</t>
  </si>
  <si>
    <t>status = null (ค่าเริ่มต้นของ entity ใหม่)</t>
  </si>
  <si>
    <t>BookingStateFactory.getState(BookingStatus)</t>
  </si>
  <si>
    <t>Functional testing - Strong Normal Equivalence Class Testing (ทุกค่าใน enum)</t>
  </si>
  <si>
    <t>static BookingState getState(BookingStatus status)</t>
  </si>
  <si>
    <t>design-patterns.md (State) • SRS 7.1</t>
  </si>
  <si>
    <t>status</t>
  </si>
  <si>
    <t>UT09-TC001</t>
  </si>
  <si>
    <t>(V1) คืน PendingState และ getStatus() = PENDING</t>
  </si>
  <si>
    <t>UT09-TC002</t>
  </si>
  <si>
    <t>(V2) คืน ConfirmedState และ getStatus() = CONFIRMED</t>
  </si>
  <si>
    <t>UT09-TC003</t>
  </si>
  <si>
    <t>(V3) คืน CheckedInState และ getStatus() = CHECKED_IN</t>
  </si>
  <si>
    <t>UT09-TC004</t>
  </si>
  <si>
    <t>(V4) คืน InServiceState และ getStatus() = IN_SERVICE</t>
  </si>
  <si>
    <t>UT09-TC005</t>
  </si>
  <si>
    <t>(V5) คืน CompletedState และ getStatus() = COMPLETED</t>
  </si>
  <si>
    <t>UT09-TC006</t>
  </si>
  <si>
    <t>(V6) คืน CancelledState และ getStatus() = CANCELLED</t>
  </si>
  <si>
    <t>UT09-TC007</t>
  </si>
  <si>
    <t>(V7) คืน NoShowState และ getStatus() = NO_SHOW</t>
  </si>
  <si>
    <t>UT09-TC008</t>
  </si>
  <si>
    <t>(V8) คืน PendingState</t>
  </si>
  <si>
    <t>คืน PendingState</t>
  </si>
  <si>
    <t>UT09 – BookingStateFactory.getState(BookingStatus)</t>
  </si>
  <si>
    <t>Strong Normal Equivalence Class Testing (ทุกค่าใน enum)</t>
  </si>
  <si>
    <t>durationMinutes</t>
  </si>
  <si>
    <t>AvailabilityServiceImpl.checkAvailability – จำนวนรอบเวลาตามระยะเวลาบริการ</t>
  </si>
  <si>
    <t>2</t>
  </si>
  <si>
    <t>90</t>
  </si>
  <si>
    <t>AvailabilityResponseDTO checkAvailability(LocalDate date, Long serviceId, Integer durationMinutes)</t>
  </si>
  <si>
    <t>719</t>
  </si>
  <si>
    <t>UC-08 • BR-BKG-02 • SRS 7.2</t>
  </si>
  <si>
    <t>721</t>
  </si>
  <si>
    <t>TC008 เป็นเคส robustness เพิ่มนอกตาราง BVA (ค่าที่ทำให้เวลาวนข้ามวัน)</t>
  </si>
  <si>
    <t>UT10-TC001</t>
  </si>
  <si>
    <t>ใช้ระยะเวลาจาก option แรก = 60 • durationMinutes ใน response = 60 • 12 รอบ (10:00–21:00)</t>
  </si>
  <si>
    <t>UT10-TC002</t>
  </si>
  <si>
    <t>durationMinutes = 1 • 12 รอบ (10:00–21:00) รอบสุดท้ายจบ 21:01</t>
  </si>
  <si>
    <t>UT10-TC003</t>
  </si>
  <si>
    <t>12 รอบ</t>
  </si>
  <si>
    <t>UT10-TC004</t>
  </si>
  <si>
    <t>11 รอบ (10:00–20:00) • ไม่มีรอบ 21:00 เพราะจะจบ 22:30</t>
  </si>
  <si>
    <t>UT10-TC005</t>
  </si>
  <si>
    <t>1 รอบ (10:00–21:59)</t>
  </si>
  <si>
    <t>UT10-TC006</t>
  </si>
  <si>
    <t>720</t>
  </si>
  <si>
    <t>UT10-TC007</t>
  </si>
  <si>
    <t>0 รอบ (availableSlots ว่าง) ไม่เกิด Exception</t>
  </si>
  <si>
    <t>UT10-TC008</t>
  </si>
  <si>
    <t>900 (นอกโดเมน: เกินเที่ยงคืน)</t>
  </si>
  <si>
    <t>0 รอบ</t>
  </si>
  <si>
    <t>22 รอบ</t>
  </si>
  <si>
    <t>1 รอบ</t>
  </si>
  <si>
    <t>11 รอบ</t>
  </si>
  <si>
    <t>1 รอบ (10:00–22:00)</t>
  </si>
  <si>
    <t>UT10 – AvailabilityServiceImpl.checkAvailability – จำนวนรอบเวลาตามระยะเวลาบริการ</t>
  </si>
  <si>
    <t>UT11 – AvailabilityServiceImpl.checkAvailability – สภาพร้านและทรัพยากร</t>
  </si>
  <si>
    <t>DEF-006</t>
  </si>
  <si>
    <t>UT12 – BookingMapper (toMyBookingResponse / toBookingResponse / list)</t>
  </si>
  <si>
    <t>Weak Normal Equivalence Class Testing</t>
  </si>
  <si>
    <t>date ระบุมา</t>
  </si>
  <si>
    <t>date = null → ใช้วันนี้</t>
  </si>
  <si>
    <t>service inactive</t>
  </si>
  <si>
    <t>service มีอยู่และ active</t>
  </si>
  <si>
    <t>วันนั้นร้านปิด (isClosed = true)</t>
  </si>
  <si>
    <t>มี BusinessHours ของวันนั้นและเปิด</t>
  </si>
  <si>
    <t>ไม่มี BusinessHours ของวันนั้น → ใช้ค่าเริ่มต้น 10:00–21:00</t>
  </si>
  <si>
    <t>หมอนวดหยุดถูกตัดออกจาก availableTherapists</t>
  </si>
  <si>
    <t>รอบที่ไม่มีห้องว่าง → available = false</t>
  </si>
  <si>
    <t>booking เดิมสถานะ COMPLETED/CANCELLED/NO_SHOW ไม่ล็อกทรัพยากร</t>
  </si>
  <si>
    <t>AvailabilityServiceImpl.checkAvailability – สภาพร้านและทรัพยากร</t>
  </si>
  <si>
    <t>checkAvailability(date, serviceId, durationMinutes)</t>
  </si>
  <si>
    <t>UC-08, UC-08a, UC-08b • SRS 7.2</t>
  </si>
  <si>
    <t>date</t>
  </si>
  <si>
    <t>UT11-TC001</t>
  </si>
  <si>
    <t>2026-11-09</t>
  </si>
  <si>
    <t>ร้านเปิด 10–22, T5 + R101 ว่าง</t>
  </si>
  <si>
    <t>(V1,V3,V4) 12 รอบ ทุกรอบ available = true, availableTherapists มี T5, availableRooms มี R101</t>
  </si>
  <si>
    <t>UT11-TC002</t>
  </si>
  <si>
    <t>ร้านเปิด</t>
  </si>
  <si>
    <t>(V2) date ใน response = วันนี้</t>
  </si>
  <si>
    <t>UT11-TC003</t>
  </si>
  <si>
    <t>ไม่มีแถว BusinessHours วันจันทร์</t>
  </si>
  <si>
    <t>(V5) 11 รอบ (10:00–20:00)</t>
  </si>
  <si>
    <t>UT11-TC004</t>
  </si>
  <si>
    <t>T5 isDayOff, T8 ว่าง</t>
  </si>
  <si>
    <t>(V6) availableTherapists ทุกรอบมีแค่ T8</t>
  </si>
  <si>
    <t>UT11-TC005</t>
  </si>
  <si>
    <t>R101 มีคิว 13:00–14:00 (ห้องเดียว)</t>
  </si>
  <si>
    <t>(V7) รอบ 12:00, 13:00, 14:00 available = false (12:00 จบ 13:00 + buffer 15 ชนคิว, 14:00 ติด buffer ถึง 14:15) • รอบอื่น true</t>
  </si>
  <si>
    <t>UT11-TC006</t>
  </si>
  <si>
    <t>R101 (ห้องเดียว) มีคิว 13:00–14:00 สถานะ COMPLETED</t>
  </si>
  <si>
    <t>UT11-TC007</t>
  </si>
  <si>
    <t>(I1) NotFoundException</t>
  </si>
  <si>
    <t>UT11-TC008</t>
  </si>
  <si>
    <t>S3 inactive</t>
  </si>
  <si>
    <t>(I2) ValidationException "Selected service is currently inactive"</t>
  </si>
  <si>
    <t>UT11-TC009</t>
  </si>
  <si>
    <t>BusinessHours MONDAY isClosed = true</t>
  </si>
  <si>
    <t>(I3) availableSlots ว่าง ไม่เกิด Exception</t>
  </si>
  <si>
    <t>date ใน response = วันนี้</t>
  </si>
  <si>
    <t>availableTherapists ทุกรอบมีแค่ T8</t>
  </si>
  <si>
    <t>12 รอบ ทุกรอบ available = true, availableTherapists มี T5, availableRooms มี R101</t>
  </si>
  <si>
    <t>รอบ 12:00, 13:00, 14:00 available = false (12:00 จบ 13:00 + buffer 15 ชนคิว, 14:00 ติด buffer ถึง 14:15) • รอบอื่น true</t>
  </si>
  <si>
    <t>availableSlots ว่าง</t>
  </si>
  <si>
    <t>(V8) รอบ 13:00 available = true เพราะ COMPLETED ไม่ล็อกทรัพยากร</t>
  </si>
  <si>
    <t>available = flase</t>
  </si>
  <si>
    <t>Booking มีครบทุก relation</t>
  </si>
  <si>
    <t>ไม่มี: ทุกกรณีต้องไม่โยน Exception</t>
  </si>
  <si>
    <t>therapist = null</t>
  </si>
  <si>
    <t>service, room, durationOption, customer = null</t>
  </si>
  <si>
    <t>status = null</t>
  </si>
  <si>
    <t>room มีแต่ roomType = null</t>
  </si>
  <si>
    <t>booking = null</t>
  </si>
  <si>
    <t>List = null หรือว่าง</t>
  </si>
  <si>
    <t>BookingMapper (toMyBookingResponse / toBookingResponse / list)</t>
  </si>
  <si>
    <t>Functional testing - Weak Normal Equivalence Class Testing</t>
  </si>
  <si>
    <t>toMyBookingResponse, toMyBookingResponses, toBookingResponse, toBookingResponses</t>
  </si>
  <si>
    <t>เมธอด</t>
  </si>
  <si>
    <t>Booking ที่ส่งเข้า</t>
  </si>
  <si>
    <t>UT12-TC001</t>
  </si>
  <si>
    <t>toBookingResponse</t>
  </si>
  <si>
    <t>ครบทุก relation</t>
  </si>
  <si>
    <t>(V1) map ครบทุก field: customerId/Name/Phone, serviceId/Name, therapistId/Name, roomId/Number/Type, status, channel, notes</t>
  </si>
  <si>
    <t>UT12-TC002</t>
  </si>
  <si>
    <t>toMyBookingResponse</t>
  </si>
  <si>
    <t>(V1) serviceName, therapistName, roomNumber, durationMinutes = 60, status = "CONFIRMED"</t>
  </si>
  <si>
    <t>UT12-TC003</t>
  </si>
  <si>
    <t>(V2) therapistId และ therapistName = null</t>
  </si>
  <si>
    <t>UT12-TC004</t>
  </si>
  <si>
    <t>service/room/option/customer = null</t>
  </si>
  <si>
    <t>(V3) field ที่เกี่ยวข้องเป็น null</t>
  </si>
  <si>
    <t>UT12-TC005</t>
  </si>
  <si>
    <t>(V4) status = null</t>
  </si>
  <si>
    <t>UT12-TC006</t>
  </si>
  <si>
    <t>room.roomType = null</t>
  </si>
  <si>
    <t>(V5) roomNumber มีค่า, roomType = null</t>
  </si>
  <si>
    <t>UT12-TC007</t>
  </si>
  <si>
    <t>toBookingResponse / toMyBookingResponse</t>
  </si>
  <si>
    <t>(V6) คืน null</t>
  </si>
  <si>
    <t>UT12-TC008</t>
  </si>
  <si>
    <t>toBookingResponses / toMyBookingResponses</t>
  </si>
  <si>
    <t>null และ []</t>
  </si>
  <si>
    <t>(V7) คืน List ว่าง</t>
  </si>
  <si>
    <t>UC-09 • DTO Pattern + Mapper</t>
  </si>
  <si>
    <t xml:space="preserve"> คืน List ว่าง</t>
  </si>
  <si>
    <t>roomNumber มีค่า, roomType = null</t>
  </si>
  <si>
    <t>field ที่เกี่ยวข้องเป็น null</t>
  </si>
  <si>
    <t>therapistId และ therapistName = null</t>
  </si>
  <si>
    <t>serviceName, therapistName, roomNumber, durationMinutes = 60, status = "CONFIRMED"</t>
  </si>
  <si>
    <t>map ครบทุก field</t>
  </si>
  <si>
    <t>Booking ที่ COMPLETED ยังล็อกห้องและหมอนวด</t>
  </si>
  <si>
    <t>service/impl/BookingServiceImpl.java และ AvailabilityServiceImpl.java : EXCLUDED_STATUSES มีแค่ CANCELLED, NO_SHOW • UC-08 ข้อ 4 ระบุว่า COMPLETED ไม่ใช่ active • UT11-TC006</t>
  </si>
  <si>
    <t>UT13 – PaymentServiceImpl.processPayment – ตรวจเงื่อนไขและผลการชำระ</t>
  </si>
  <si>
    <t>UT14 – PaymentServiceImpl.processPayment – ส่วนลดและสถานะ booking หลังชำระ</t>
  </si>
  <si>
    <t>UT15 – FixedAmountDiscountStrategy (WELCOME100)</t>
  </si>
  <si>
    <t>UT16 – PercentageDiscountStrategy (FIWDEE20)</t>
  </si>
  <si>
    <t>UT17 – DiscountStrategyFactory.findStrategy(promoCode)</t>
  </si>
  <si>
    <t>UT18 – PaymentStrategyFactory + Cash/QR/CardPaymentStrategy</t>
  </si>
  <si>
    <t>Strong Normal Equivalence Class Testing (ทุกค่าใน PaymentMethod)</t>
  </si>
  <si>
    <t>C1: bookingId = null</t>
  </si>
  <si>
    <t>C2: request หรือ paymentMethod = null</t>
  </si>
  <si>
    <t>C3: พบ booking</t>
  </si>
  <si>
    <t>C4: มี Payment สถานะ COMPLETED อยู่แล้ว</t>
  </si>
  <si>
    <t>C5: totalPrice &gt; 0</t>
  </si>
  <si>
    <t>C6: strategy.processPayment สำเร็จ</t>
  </si>
  <si>
    <t>C7: Payment เดิมสถานะ FAILED/PENDING</t>
  </si>
  <si>
    <t>A1: ValidationException "Booking ID cannot be null"</t>
  </si>
  <si>
    <t>A2: ValidationException "Payment method is required"</t>
  </si>
  <si>
    <t>A3: NotFoundException</t>
  </si>
  <si>
    <t>A4: ConflictException จ่ายซ้ำ</t>
  </si>
  <si>
    <t>A5: ValidationException ราคาไม่ถูกต้อง</t>
  </si>
  <si>
    <t>A6: save Payment FAILED + ValidationException</t>
  </si>
  <si>
    <t>A7: save Payment COMPLETED + คืน DTO</t>
  </si>
  <si>
    <t>PaymentServiceImpl.processPayment – ตรวจเงื่อนไขและผลการชำระ</t>
  </si>
  <si>
    <t>PaymentResponseDTO processPayment(Long bookingId, PaymentRequestDTO request)</t>
  </si>
  <si>
    <t>UC-19 • BR-PAY-01 Single Full Settlement • BR-PAY-02 Immutable Payment</t>
  </si>
  <si>
    <t>paymentMethod</t>
  </si>
  <si>
    <t>UT13-TC001</t>
  </si>
  <si>
    <t>CASH</t>
  </si>
  <si>
    <t>ValidationException "Booking ID cannot be null" • ไม่เรียก repository</t>
  </si>
  <si>
    <t>UT13-TC002</t>
  </si>
  <si>
    <t>ValidationException "Payment method is required"</t>
  </si>
  <si>
    <t>UT13-TC003</t>
  </si>
  <si>
    <t>ไม่พบ booking</t>
  </si>
  <si>
    <t>UT13-TC004</t>
  </si>
  <si>
    <t>QR_PROMPTPAY</t>
  </si>
  <si>
    <t>มี Payment COMPLETED อยู่แล้ว</t>
  </si>
  <si>
    <t>ConflictException "...already been completed..." • ไม่เรียก strategy</t>
  </si>
  <si>
    <t>UT13-TC005</t>
  </si>
  <si>
    <t>totalPrice = 0.00</t>
  </si>
  <si>
    <t>ValidationException "Invalid booking total price"</t>
  </si>
  <si>
    <t>UT13-TC006</t>
  </si>
  <si>
    <t>CREDIT_CARD</t>
  </si>
  <si>
    <t>strategy คืน false</t>
  </si>
  <si>
    <t>save Payment ที่ status = FAILED 1 ครั้ง แล้วโยน ValidationException • สถานะ booking ไม่เปลี่ยน</t>
  </si>
  <si>
    <t>UT13-TC007</t>
  </si>
  <si>
    <t>ไม่มี Payment เดิม</t>
  </si>
  <si>
    <t>Payment COMPLETED: gross = net = 600.00, discount = 0, paymentReferenceCode ขึ้นต้น PAY-, receiptNumber ขึ้นต้น REC-</t>
  </si>
  <si>
    <t>UT13-TC008</t>
  </si>
  <si>
    <t>มี Payment เดิมสถานะ FAILED</t>
  </si>
  <si>
    <t>ชำระได้ (ไม่ถือว่าจ่ายซ้ำ) • Payment ใหม่ COMPLETED</t>
  </si>
  <si>
    <t>ไม่มี promoCode</t>
  </si>
  <si>
    <t>รหัสไม่รู้จัก → ไม่ลด</t>
  </si>
  <si>
    <t>FIWDEE20 (ลด 20%)</t>
  </si>
  <si>
    <t>WELCOME100 แต่ราคา &lt; 300 → ไม่ลด</t>
  </si>
  <si>
    <t>WELCOME100 และราคา ≥ 300</t>
  </si>
  <si>
    <t>สถานะ CHECKED_IN (ห้ามข้ามไป COMPLETED)</t>
  </si>
  <si>
    <t>รหัสพิมพ์เล็ก/มีช่องว่าง เช่น " fiwdee20 "</t>
  </si>
  <si>
    <t>สถานะ CANCELLED / NO_SHOW (ห้ามรับเงิน)</t>
  </si>
  <si>
    <t>สถานะ PENDING → CONFIRMED</t>
  </si>
  <si>
    <t>สถานะ CONFIRMED → คงเดิม</t>
  </si>
  <si>
    <t>สถานะ IN_SERVICE → COMPLETED</t>
  </si>
  <si>
    <t>PaymentServiceImpl.processPayment – ส่วนลดและสถานะ booking หลังชำระ</t>
  </si>
  <si>
    <t>processPayment(...) ขั้นที่ 4 (ส่วนลด) และ 8 (อัปเดตสถานะ booking)</t>
  </si>
  <si>
    <t>สถานะ booking</t>
  </si>
  <si>
    <t>totalPrice</t>
  </si>
  <si>
    <t>promoCode</t>
  </si>
  <si>
    <t>UT14-TC001</t>
  </si>
  <si>
    <t>600.00</t>
  </si>
  <si>
    <t>(V1,V6) discount 0, net 600.00 • สถานะคง CONFIRMED</t>
  </si>
  <si>
    <t>UT14-TC002</t>
  </si>
  <si>
    <t>FIWDEE20</t>
  </si>
  <si>
    <t>(V2) discount 120.00, net 480.00</t>
  </si>
  <si>
    <t>UT14-TC003</t>
  </si>
  <si>
    <t>WELCOME100</t>
  </si>
  <si>
    <t>(V3) discount 100.00, net 500.00</t>
  </si>
  <si>
    <t>UT14-TC004</t>
  </si>
  <si>
    <t>" fiwdee20 "</t>
  </si>
  <si>
    <t>(V4) discount 120.00</t>
  </si>
  <si>
    <t>UT14-TC005</t>
  </si>
  <si>
    <t>SALE50</t>
  </si>
  <si>
    <t>(I1) discount 0, net 600.00 ไม่โยน Exception</t>
  </si>
  <si>
    <t>UT14-TC006</t>
  </si>
  <si>
    <t>250.00</t>
  </si>
  <si>
    <t>(I2) discount 0, net 250.00</t>
  </si>
  <si>
    <t>UT14-TC007</t>
  </si>
  <si>
    <t>UT14-TC008</t>
  </si>
  <si>
    <t>UT14-TC009</t>
  </si>
  <si>
    <t>UT14-TC010</t>
  </si>
  <si>
    <t>UT14-TC011</t>
  </si>
  <si>
    <t>totalPrice (isApplicable)</t>
  </si>
  <si>
    <t>grossAmount (calculateDiscount)</t>
  </si>
  <si>
    <t>299.99</t>
  </si>
  <si>
    <t>0.00</t>
  </si>
  <si>
    <t>FixedAmountDiscountStrategy (WELCOME100)</t>
  </si>
  <si>
    <t>300.00</t>
  </si>
  <si>
    <t>0.01</t>
  </si>
  <si>
    <t>300.01</t>
  </si>
  <si>
    <t>0.02</t>
  </si>
  <si>
    <t>50.00</t>
  </si>
  <si>
    <t>isApplicable(Booking) : totalPrice ≥ 300.00 • calculateDiscount(gross) : min(gross, 100.00), gross ≤ 0 → 0</t>
  </si>
  <si>
    <t>99.99</t>
  </si>
  <si>
    <t>100.00</t>
  </si>
  <si>
    <t>Discount Strategy (design-patterns.md) • BR-PAY-01</t>
  </si>
  <si>
    <t>100.01</t>
  </si>
  <si>
    <t>ค่าที่ส่ง</t>
  </si>
  <si>
    <t>UT15-TC001</t>
  </si>
  <si>
    <t>isApplicable</t>
  </si>
  <si>
    <t>totalPrice 299.99</t>
  </si>
  <si>
    <t>false</t>
  </si>
  <si>
    <t>UT15-TC002</t>
  </si>
  <si>
    <t>totalPrice 300.00</t>
  </si>
  <si>
    <t>true</t>
  </si>
  <si>
    <t>UT15-TC003</t>
  </si>
  <si>
    <t>totalPrice 300.01</t>
  </si>
  <si>
    <t>UT15-TC004</t>
  </si>
  <si>
    <t>totalPrice 600.00</t>
  </si>
  <si>
    <t>UT15-TC005</t>
  </si>
  <si>
    <t>totalPrice null / booking null</t>
  </si>
  <si>
    <t>UT15-TC006</t>
  </si>
  <si>
    <t>calculateDiscount</t>
  </si>
  <si>
    <t>UT15-TC007</t>
  </si>
  <si>
    <t>UT15-TC008</t>
  </si>
  <si>
    <t>UT15-TC009</t>
  </si>
  <si>
    <t>UT15-TC010</t>
  </si>
  <si>
    <t>UT15-TC011</t>
  </si>
  <si>
    <t>UT15-TC012</t>
  </si>
  <si>
    <t>UT15-TC013</t>
  </si>
  <si>
    <t>null / -1.00</t>
  </si>
  <si>
    <t>UT15-TC014</t>
  </si>
  <si>
    <t>getPromotionCode</t>
  </si>
  <si>
    <t>"WELCOME100"</t>
  </si>
  <si>
    <t>ผลคูณลงตัว 2 ตำแหน่ง</t>
  </si>
  <si>
    <t>gross = 0</t>
  </si>
  <si>
    <t>หลักที่ 3 &lt; 5 → ปัดลง</t>
  </si>
  <si>
    <t>gross ติดลบ</t>
  </si>
  <si>
    <t>หลักที่ 3 = 5 → ปัดขึ้น (HALF_UP)</t>
  </si>
  <si>
    <t>gross = null</t>
  </si>
  <si>
    <t>booking ราคา &gt; 0 → ใช้ได้</t>
  </si>
  <si>
    <t>booking ราคา 0 / null / booking null</t>
  </si>
  <si>
    <t>PercentageDiscountStrategy (FIWDEE20)</t>
  </si>
  <si>
    <t>isApplicable(Booking) : totalPrice &gt; 0 • calculateDiscount(gross) = gross × 0.20 ปัดทศนิยม 2 ตำแหน่งแบบ HALF_UP</t>
  </si>
  <si>
    <t>Discount Strategy (design-patterns.md)</t>
  </si>
  <si>
    <t>UT16-TC001</t>
  </si>
  <si>
    <t>(V1) 120.00</t>
  </si>
  <si>
    <t>UT16-TC002</t>
  </si>
  <si>
    <t>(V2) 0.00 (0.002)</t>
  </si>
  <si>
    <t>UT16-TC003</t>
  </si>
  <si>
    <t>0.03</t>
  </si>
  <si>
    <t>(V3) 0.01 (0.006 ปัดขึ้น)</t>
  </si>
  <si>
    <t>UT16-TC004</t>
  </si>
  <si>
    <t>0.025</t>
  </si>
  <si>
    <t>(V3) 0.01 (0.005 → HALF_UP)</t>
  </si>
  <si>
    <t>UT16-TC005</t>
  </si>
  <si>
    <t>(V4) true</t>
  </si>
  <si>
    <t>UT16-TC006</t>
  </si>
  <si>
    <t>(I1) 0</t>
  </si>
  <si>
    <t>UT16-TC007</t>
  </si>
  <si>
    <t>-10.00</t>
  </si>
  <si>
    <t>(I2) 0</t>
  </si>
  <si>
    <t>UT16-TC008</t>
  </si>
  <si>
    <t>(I3) 0</t>
  </si>
  <si>
    <t>UT16-TC009</t>
  </si>
  <si>
    <t>totalPrice 0.00 / null / booking null</t>
  </si>
  <si>
    <t>(I4) false</t>
  </si>
  <si>
    <t>รหัสตรงตัว</t>
  </si>
  <si>
    <t>รหัสไม่รู้จัก</t>
  </si>
  <si>
    <t>รหัสต่างตัวพิมพ์</t>
  </si>
  <si>
    <t>รหัสมีช่องว่างหน้า/หลัง</t>
  </si>
  <si>
    <t>"" หรือช่องว่างล้วน</t>
  </si>
  <si>
    <t>รายการ strategy มีรหัสซ้ำ → ใช้ตัวแรก</t>
  </si>
  <si>
    <t>factory สร้างด้วย list ว่าง/null</t>
  </si>
  <si>
    <t>DiscountStrategyFactory.findStrategy(promoCode)</t>
  </si>
  <si>
    <t>Optional&lt;DiscountStrategy&gt; findStrategy(String promoCode)</t>
  </si>
  <si>
    <t>Factory + Strategy (OCP)</t>
  </si>
  <si>
    <t>factory</t>
  </si>
  <si>
    <t>UT17-TC001</t>
  </si>
  <si>
    <t>ปกติ</t>
  </si>
  <si>
    <t>(V1) Optional มี PercentageDiscountStrategy</t>
  </si>
  <si>
    <t>UT17-TC002</t>
  </si>
  <si>
    <t>welcome100</t>
  </si>
  <si>
    <t>(V2) Optional มี FixedAmountDiscountStrategy</t>
  </si>
  <si>
    <t>UT17-TC003</t>
  </si>
  <si>
    <t>"  FIWDEE20  "</t>
  </si>
  <si>
    <t>(V3) Optional มี PercentageDiscountStrategy</t>
  </si>
  <si>
    <t>UT17-TC004</t>
  </si>
  <si>
    <t>DUP</t>
  </si>
  <si>
    <t>strategy A, B รหัส DUP ทั้งคู่</t>
  </si>
  <si>
    <t>(V4) คืน A ไม่โยน IllegalStateException</t>
  </si>
  <si>
    <t>UT17-TC005</t>
  </si>
  <si>
    <t>(I1) Optional.empty()</t>
  </si>
  <si>
    <t>UT17-TC006</t>
  </si>
  <si>
    <t>(I2) Optional.empty()</t>
  </si>
  <si>
    <t>UT17-TC007</t>
  </si>
  <si>
    <t>"   "</t>
  </si>
  <si>
    <t>(I3) Optional.empty()</t>
  </si>
  <si>
    <t>UT17-TC008</t>
  </si>
  <si>
    <t>new DiscountStrategyFactory(null)</t>
  </si>
  <si>
    <t>(I4) Optional.empty()</t>
  </si>
  <si>
    <t>method = null</t>
  </si>
  <si>
    <t>method ไม่มี strategy ลงทะเบียน</t>
  </si>
  <si>
    <t>payment = null</t>
  </si>
  <si>
    <t>Payment มี netAmount</t>
  </si>
  <si>
    <t>netAmount = null</t>
  </si>
  <si>
    <t>Payment มี paidAt อยู่แล้ว</t>
  </si>
  <si>
    <t>PaymentStrategyFactory + Cash/QR/CardPaymentStrategy</t>
  </si>
  <si>
    <t>Functional testing - Strong Normal Equivalence Class Testing (ทุกค่าใน PaymentMethod)</t>
  </si>
  <si>
    <t>PaymentStrategyFactory.getStrategy(method) • PaymentStrategy.processPayment(payment) • QRPaymentStrategy.generatePromptPayQR</t>
  </si>
  <si>
    <t>UC-19 • Strategy Pattern (ใบงานข้อ 5.2)</t>
  </si>
  <si>
    <t>input</t>
  </si>
  <si>
    <t>UT18-TC001</t>
  </si>
  <si>
    <t>getStrategy</t>
  </si>
  <si>
    <t>(V1) CashPaymentStrategy</t>
  </si>
  <si>
    <t>UT18-TC002</t>
  </si>
  <si>
    <t>(V2) QRPaymentStrategy</t>
  </si>
  <si>
    <t>UT18-TC003</t>
  </si>
  <si>
    <t>(V3) CardPaymentStrategy</t>
  </si>
  <si>
    <t>UT18-TC004</t>
  </si>
  <si>
    <t>(I1) ValidationException "Payment method cannot be null"</t>
  </si>
  <si>
    <t>UT18-TC005</t>
  </si>
  <si>
    <t>getStrategy (factory มีแค่ Cash)</t>
  </si>
  <si>
    <t>(I2) ValidationException "Unsupported payment method"</t>
  </si>
  <si>
    <t>UT18-TC006</t>
  </si>
  <si>
    <t>Cash.processPayment</t>
  </si>
  <si>
    <t>net 480.00, paidAt null</t>
  </si>
  <si>
    <t>(V4) true, status COMPLETED, paidAt ไม่เป็น null</t>
  </si>
  <si>
    <t>UT18-TC007</t>
  </si>
  <si>
    <t>Card.processPayment</t>
  </si>
  <si>
    <t>paidAt = 2026-11-02 10:00</t>
  </si>
  <si>
    <t>(V5) true, paidAt คงค่าเดิม</t>
  </si>
  <si>
    <t>UT18-TC008</t>
  </si>
  <si>
    <t>QR.processPayment</t>
  </si>
  <si>
    <t>(I3) false</t>
  </si>
  <si>
    <t>UT18-TC009</t>
  </si>
  <si>
    <t>netAmount null</t>
  </si>
  <si>
    <t>(I4) false, status ไม่เปลี่ยน</t>
  </si>
  <si>
    <t>UT18-TC010</t>
  </si>
  <si>
    <t>QR.generatePromptPayQR</t>
  </si>
  <si>
    <t>net 480.00</t>
  </si>
  <si>
    <t>(V4) "https://promptpay.io/0812345678/480.00"</t>
  </si>
  <si>
    <t>BR-PAY-01 • SRS 7.1 • BR-QUE-03 • UC-07 ข้อ 13</t>
  </si>
  <si>
    <t>discount 0, net 600.00 • สถานะคง CONFIRMED</t>
  </si>
  <si>
    <t>discount 120.00, net 480.00</t>
  </si>
  <si>
    <t>discount 100.00, net 500.00</t>
  </si>
  <si>
    <t>discount 120.00</t>
  </si>
  <si>
    <t>discount 0, net 250.00</t>
  </si>
  <si>
    <t>discount 0, net 600.00</t>
  </si>
  <si>
    <t xml:space="preserve">(V5) booking → CONFIRMED และ publish BookingStatusChangedEvent </t>
  </si>
  <si>
    <t xml:space="preserve">(V7) booking → COMPLETED และ publish event </t>
  </si>
  <si>
    <t xml:space="preserve">(I3) ชำระได้ แต่สถานะต้องคง CHECKED_IN </t>
  </si>
  <si>
    <t xml:space="preserve">(I4) ValidationException ห้ามรับเงิน </t>
  </si>
  <si>
    <t xml:space="preserve">(I4) ValidationException </t>
  </si>
  <si>
    <t xml:space="preserve">booking → COMPLETED และ publish event </t>
  </si>
  <si>
    <t xml:space="preserve">booking → CONFIRMED และ publish BookingStatusChangedEvent </t>
  </si>
  <si>
    <t>สถานะ COMPLETED</t>
  </si>
  <si>
    <t>0.00 (0.002)</t>
  </si>
  <si>
    <t>0.01 (0.006 ปัดขึ้น)</t>
  </si>
  <si>
    <t>0.01 (0.005 → HALF_UP)</t>
  </si>
  <si>
    <t>CashPaymentStrategy</t>
  </si>
  <si>
    <t>QRPaymentStrategy</t>
  </si>
  <si>
    <t>CardPaymentStrategy</t>
  </si>
  <si>
    <t>ValidationException "Payment method cannot be null"</t>
  </si>
  <si>
    <t>ValidationException "Unsupported payment method"</t>
  </si>
  <si>
    <t>true, status COMPLETED, paidAt ไม่เป็น null</t>
  </si>
  <si>
    <t>true, paidAt คงค่าเดิม</t>
  </si>
  <si>
    <t>false, status ไม่เปลี่ยน</t>
  </si>
  <si>
    <t>https://promptpay.io/0812345678/480.00</t>
  </si>
  <si>
    <t>Optional มี PercentageDiscountStrategy</t>
  </si>
  <si>
    <t>Optional มี FixedAmountDiscountStrategy</t>
  </si>
  <si>
    <t>คืน A ไม่โยน IllegalStateException</t>
  </si>
  <si>
    <t>Optional.empty()</t>
  </si>
  <si>
    <t>NotFoundExceptionv</t>
  </si>
  <si>
    <t>ValidationException สถานะ booking ไม่เปลี่ยน</t>
  </si>
  <si>
    <t>Payment COMPLETED</t>
  </si>
  <si>
    <t>Payment ใหม่ COMPLETED</t>
  </si>
  <si>
    <t>ชำระเงินตอน CHECKED_IN แล้ว Booking กลายเป็น COMPLETED (ข้าม IN_SERVICE)</t>
  </si>
  <si>
    <t>เปลี่ยนสถานะ Booking ตอนชำระเงินแต่ไม่ publish BookingStatusChangedEvent</t>
  </si>
  <si>
    <t>service/impl/PaymentServiceImpl.java (ไม่มี ApplicationEventPublisher) • ลูกค้าไม่ได้รับแจ้งเตือน (UC-07 ข้อ 13) • UT14-TC007, TC008</t>
  </si>
  <si>
    <t>รับชำระเงินของ Booking ที่ CANCELLED / NO_SHOW ได้</t>
  </si>
  <si>
    <t>DEF-007</t>
  </si>
  <si>
    <t>DEF-008</t>
  </si>
  <si>
    <t>service/impl/PaymentServiceImpl.java  ผิด BR-QUE-03 และ State diagram • ข้าม completeService() ห้องไม่เข้า CLEANING, คิวไม่ COMPLETED • ยืนยันด้วย UT14-TC009</t>
  </si>
  <si>
    <t>service/impl/PaymentServiceImpl.java processPayment ไม่ตรวจสถานะ booking • ผิด SRS 7.1 (end state) • UT14-TC010, TC011</t>
  </si>
  <si>
    <t>Refund</t>
  </si>
  <si>
    <t>UT19 – RefundServiceImpl.processRefund – จำนวนเงินคืน</t>
  </si>
  <si>
    <t>UT20 – RefundServiceImpl – เงื่อนไขอื่นของการคืนเงิน</t>
  </si>
  <si>
    <t>refundAmount</t>
  </si>
  <si>
    <t>RefundServiceImpl.processRefund – จำนวนเงินคืน</t>
  </si>
  <si>
    <t>RefundResponseDTO processRefund(RefundRequestDTO request) : 0 &lt; refundAmount ≤ net − คืนไปแล้ว</t>
  </si>
  <si>
    <t>599.99</t>
  </si>
  <si>
    <t>UC-10 A1 • BR-PAY-02 (Refund เป็น record แยก)</t>
  </si>
  <si>
    <t>600.01</t>
  </si>
  <si>
    <t>UT19-TC001</t>
  </si>
  <si>
    <t>ValidationException "Refund amount must be greater than zero"</t>
  </si>
  <si>
    <t>UT19-TC002</t>
  </si>
  <si>
    <t>บันทึก Refund COMPLETED 0.01 • Payment คง COMPLETED</t>
  </si>
  <si>
    <t>UT19-TC003</t>
  </si>
  <si>
    <t>บันทึก Refund • Payment คง COMPLETED</t>
  </si>
  <si>
    <t>UT19-TC004</t>
  </si>
  <si>
    <t>UT19-TC005</t>
  </si>
  <si>
    <t>UT19-TC006</t>
  </si>
  <si>
    <t>บันทึก Refund • Payment เปลี่ยนเป็น REFUNDED และถูก save</t>
  </si>
  <si>
    <t>UT19-TC007</t>
  </si>
  <si>
    <t>ValidationException "...exceeds maximum remaining refundable balance (600.00)"</t>
  </si>
  <si>
    <t>Payment COMPLETED เคยคืนแล้ว 200 (COMPLETED) → คงเหลือ 400</t>
  </si>
  <si>
    <t>request = null หรือ paymentId = null</t>
  </si>
  <si>
    <t>Refund เก่าสถานะ FAILED ไม่นับ</t>
  </si>
  <si>
    <t>ไม่พบ Payment</t>
  </si>
  <si>
    <t>processedByStaff ว่าง → "Staff"</t>
  </si>
  <si>
    <t>Payment PENDING / FAILED</t>
  </si>
  <si>
    <t>ดึง refund ล่าสุดของ payment ที่มี refund</t>
  </si>
  <si>
    <t>คืนเกินยอดคงเหลือหลังคืนบางส่วน</t>
  </si>
  <si>
    <t>getRefundByPaymentId ไม่มี refund</t>
  </si>
  <si>
    <t>id = null ในเมธอด get</t>
  </si>
  <si>
    <t>RefundServiceImpl – เงื่อนไขอื่นของการคืนเงิน</t>
  </si>
  <si>
    <t>processRefund(...), getRefundByPaymentId(...), getRefundsByBookingId(...)</t>
  </si>
  <si>
    <t>UC-10 A1 • BR-PAY-02</t>
  </si>
  <si>
    <t>สภาพ Payment / refund เดิม</t>
  </si>
  <si>
    <t>request</t>
  </si>
  <si>
    <t>UT20-TC001</t>
  </si>
  <si>
    <t>COMPLETED, คืนแล้ว 200 (COMPLETED)</t>
  </si>
  <si>
    <t>refund 400.00</t>
  </si>
  <si>
    <t>(V1) สำเร็จ • Payment → REFUNDED</t>
  </si>
  <si>
    <t>UT20-TC002</t>
  </si>
  <si>
    <t>COMPLETED, refund เก่า 200 สถานะ FAILED</t>
  </si>
  <si>
    <t>refund 600.00</t>
  </si>
  <si>
    <t>(V2) สำเร็จ (คงเหลือ 600) • Payment → REFUNDED</t>
  </si>
  <si>
    <t>UT20-TC003</t>
  </si>
  <si>
    <t>refund 100, processedByStaff = "  "</t>
  </si>
  <si>
    <t>(V3) processedByStaff = "Staff"</t>
  </si>
  <si>
    <t>UT20-TC004</t>
  </si>
  <si>
    <t>มี refund 2 รายการ</t>
  </si>
  <si>
    <t>getRefundByPaymentId(1)</t>
  </si>
  <si>
    <t>(V4) คืนรายการ id ล่าสุด</t>
  </si>
  <si>
    <t>UT20-TC005</t>
  </si>
  <si>
    <t>request = null</t>
  </si>
  <si>
    <t>(I1) ValidationException "Payment ID is required..."</t>
  </si>
  <si>
    <t>UT20-TC006</t>
  </si>
  <si>
    <t>ไม่พบ Payment#999</t>
  </si>
  <si>
    <t>paymentId 999, 100.00</t>
  </si>
  <si>
    <t>(I2) NotFoundException</t>
  </si>
  <si>
    <t>UT20-TC007</t>
  </si>
  <si>
    <t>refund 100.00</t>
  </si>
  <si>
    <t>(I3) ConflictException "...not COMPLETED..."</t>
  </si>
  <si>
    <t>UT20-TC008</t>
  </si>
  <si>
    <t>COMPLETED, คืนแล้ว 200</t>
  </si>
  <si>
    <t>refund 400.01</t>
  </si>
  <si>
    <t>(I4) ValidationException เกินยอดคงเหลือ 400.00</t>
  </si>
  <si>
    <t>UT20-TC009</t>
  </si>
  <si>
    <t>ไม่มี refund</t>
  </si>
  <si>
    <t>(I5) NotFoundException</t>
  </si>
  <si>
    <t>UT20-TC010</t>
  </si>
  <si>
    <t>getRefundsByBookingId(null)</t>
  </si>
  <si>
    <t>(I6) ValidationException</t>
  </si>
  <si>
    <t>บันทึก Refund COMPLETED 0.01 Payment คง COMPLETED</t>
  </si>
  <si>
    <t>บันทึก Refund Payment คง COMPLETED</t>
  </si>
  <si>
    <t>บันทึก Refund Payment เปลี่ยนเป็น REFUNDED และถูก save</t>
  </si>
  <si>
    <t>สำเร็จ • Payment → REFUNDED</t>
  </si>
  <si>
    <t>processedByStaff = "Staff"</t>
  </si>
  <si>
    <t>คืนรายการ id ล่าสุด</t>
  </si>
  <si>
    <t>สำเร็จ (คงเหลือ 600) • Payment → REFUNDED</t>
  </si>
  <si>
    <t>Queue</t>
  </si>
  <si>
    <t>UT21 – QueueServiceImpl.checkInBooking – ช่วงเวลาที่ check-in ได้</t>
  </si>
  <si>
    <t>UT22 – QueueServiceImpl – สถานะ booking ตอน check-in และเลขคิว</t>
  </si>
  <si>
    <t>UT23 – QueueServiceImpl.updateQueueStatus – การเปลี่ยนสถานะคิว</t>
  </si>
  <si>
    <t>UT24 – TherapistExecutionServiceImpl – เริ่ม/จบการให้บริการ</t>
  </si>
  <si>
    <t>นาทีก่อนเวลานัด</t>
  </si>
  <si>
    <t>วันก่อนหน้า</t>
  </si>
  <si>
    <t>QueueServiceImpl.checkInBooking – ช่วงเวลาที่ check-in ได้</t>
  </si>
  <si>
    <t>checkInBooking(bookingId) → validateCheckInTime: วันเดียวกัน และ now ≥ start − 30 นาที</t>
  </si>
  <si>
    <t>BR-QUE-01 • UC-12 A1</t>
  </si>
  <si>
    <t>now</t>
  </si>
  <si>
    <t>UT21-TC001</t>
  </si>
  <si>
    <t>2026-11-02 13:50</t>
  </si>
  <si>
    <t>สำเร็จ: booking → CHECKED_IN, publish event 1 ครั้ง, คืน QueueItem</t>
  </si>
  <si>
    <t>UT21-TC002</t>
  </si>
  <si>
    <t>2026-11-02 13:29</t>
  </si>
  <si>
    <t>ValidationException "...within 30 minutes..." • สถานะคง CONFIRMED</t>
  </si>
  <si>
    <t>UT21-TC003</t>
  </si>
  <si>
    <t>2026-11-02 13:30</t>
  </si>
  <si>
    <t>สำเร็จ</t>
  </si>
  <si>
    <t>UT21-TC004</t>
  </si>
  <si>
    <t>2026-11-02 13:31</t>
  </si>
  <si>
    <t>UT21-TC005</t>
  </si>
  <si>
    <t>2026-11-01 13:50</t>
  </si>
  <si>
    <t>ValidationException "...on its scheduled date"</t>
  </si>
  <si>
    <t>UT21-TC006</t>
  </si>
  <si>
    <t>2026-11-02 15:00</t>
  </si>
  <si>
    <t>-60 (มาสาย)</t>
  </si>
  <si>
    <t>สำเร็จ (โค้ดไม่มีขอบบน — ดู Q4 กรณีสายเกิน 15 นาที)</t>
  </si>
  <si>
    <t>booking CONFIRMED</t>
  </si>
  <si>
    <t>booking CHECKED_IN และมีคิวแล้ว (เรียกซ้ำ)</t>
  </si>
  <si>
    <t>สถานะอื่น (PENDING, CANCELLED, ...)</t>
  </si>
  <si>
    <t>booking CHECKED_IN แต่ยังไม่มีคิว</t>
  </si>
  <si>
    <t>generateQueueItem กับ booking ที่ยังไม่ CHECKED_IN</t>
  </si>
  <si>
    <t>วันนั้นยังไม่มีคิว → Q001</t>
  </si>
  <si>
    <t>callNextQueue ไม่มีคิว WAITING</t>
  </si>
  <si>
    <t>มี Q001–Q003 → Q004</t>
  </si>
  <si>
    <t>มีคิวที่เลขผิดรูปแบบ (null, "QX") → นับเป็น 0</t>
  </si>
  <si>
    <t>QueueServiceImpl – สถานะ booking ตอน check-in และเลขคิว</t>
  </si>
  <si>
    <t>checkInBooking(bookingId), generateQueueItem(Booking), callNextQueue()</t>
  </si>
  <si>
    <t>UC-12 • UC-13 • Observer (QueueListener)</t>
  </si>
  <si>
    <t>สภาพข้อมูล</t>
  </si>
  <si>
    <t>UT22-TC001</t>
  </si>
  <si>
    <t>checkInBooking(10)</t>
  </si>
  <si>
    <t>CONFIRMED, ไม่มีคิว</t>
  </si>
  <si>
    <t>(V1) CHECKED_IN, save booking, publish event (CONFIRMED→CHECKED_IN)</t>
  </si>
  <si>
    <t>UT22-TC002</t>
  </si>
  <si>
    <t>CHECKED_IN, มีคิว Q002</t>
  </si>
  <si>
    <t>(V2) คืน Q002 เดิม ไม่สร้างใหม่ ไม่ publish event</t>
  </si>
  <si>
    <t>UT22-TC003</t>
  </si>
  <si>
    <t>CHECKED_IN, ไม่มีคิว</t>
  </si>
  <si>
    <t>(V3) สร้างคิวใหม่ status WAITING, priority 0</t>
  </si>
  <si>
    <t>UT22-TC004</t>
  </si>
  <si>
    <t>generateQueueItem(booking)</t>
  </si>
  <si>
    <t>วันนั้นไม่มีคิว</t>
  </si>
  <si>
    <t>(V4) queueNumber = "Q001"</t>
  </si>
  <si>
    <t>UT22-TC005</t>
  </si>
  <si>
    <t>มี Q001, Q002, Q003</t>
  </si>
  <si>
    <t>(V5) queueNumber = "Q004"</t>
  </si>
  <si>
    <t>UT22-TC006</t>
  </si>
  <si>
    <t>มี Q001 และคิว queueNumber = null, "QX"</t>
  </si>
  <si>
    <t>(V6) queueNumber = "Q002"</t>
  </si>
  <si>
    <t>UT22-TC007</t>
  </si>
  <si>
    <t>checkInBooking(999)</t>
  </si>
  <si>
    <t>ไม่พบ</t>
  </si>
  <si>
    <t>UT22-TC008</t>
  </si>
  <si>
    <t>(I2) ValidationException "Only confirmed bookings can be checked in"</t>
  </si>
  <si>
    <t>UT22-TC009</t>
  </si>
  <si>
    <t>(I3) ValidationException "...only be created after check-in"</t>
  </si>
  <si>
    <t>UT22-TC010</t>
  </si>
  <si>
    <t>callNextQueue()</t>
  </si>
  <si>
    <t>ไม่มีคิว WAITING วันนี้</t>
  </si>
  <si>
    <t>(I4) NotFoundException</t>
  </si>
  <si>
    <t>EC1 (สถานะปัจจุบัน) = { WAITING, CALLED, IN_SERVICE, COMPLETED, CANCELLED }</t>
  </si>
  <si>
    <t>EC2 (สถานะที่ขอ) = { WAITING, CALLED, IN_SERVICE, COMPLETED, CANCELLED, null }</t>
  </si>
  <si>
    <t>WAITING</t>
  </si>
  <si>
    <t>CALLED</t>
  </si>
  <si>
    <t>C2 = WAITING</t>
  </si>
  <si>
    <t>=</t>
  </si>
  <si>
    <t>C2 = CALLED</t>
  </si>
  <si>
    <t>✓</t>
  </si>
  <si>
    <t>C2 = IN_SERVICE</t>
  </si>
  <si>
    <t>C2 = COMPLETED</t>
  </si>
  <si>
    <t>C2 = CANCELLED</t>
  </si>
  <si>
    <t>A1: ✓ เปลี่ยนสถานะ + save</t>
  </si>
  <si>
    <t>A2: = คืนคิวเดิมไม่ save</t>
  </si>
  <si>
    <t>A3: ✗ ValidationException</t>
  </si>
  <si>
    <t>QueueServiceImpl.updateQueueStatus – การเปลี่ยนสถานะคิว</t>
  </si>
  <si>
    <t>QueueItem updateQueueStatus(Long queueId, QueueStatus status) → isAllowedTransition(current, requested)</t>
  </si>
  <si>
    <t>UC-13 • UC-16 • UC-17</t>
  </si>
  <si>
    <t>สถานะที่ขอ</t>
  </si>
  <si>
    <t>WAITING→WAITING</t>
  </si>
  <si>
    <t>UT23-TC001</t>
  </si>
  <si>
    <t>คืนคิวเดิม ไม่เรียก save (สถานะเดียวกัน)</t>
  </si>
  <si>
    <t>WAITING→CALLED</t>
  </si>
  <si>
    <t>UT23-TC002</t>
  </si>
  <si>
    <t>queueStatus = CALLED และตั้ง calledTime • save 1 ครั้ง</t>
  </si>
  <si>
    <t>WAITING→IN_SERVICE</t>
  </si>
  <si>
    <t>UT23-TC003</t>
  </si>
  <si>
    <t>ValidationException "Queue status cannot transition from WAITING to IN_SERVICE"</t>
  </si>
  <si>
    <t>WAITING→COMPLETED</t>
  </si>
  <si>
    <t>UT23-TC004</t>
  </si>
  <si>
    <t>ValidationException "Queue status cannot transition from WAITING to COMPLETED"</t>
  </si>
  <si>
    <t>WAITING→CANCELLED</t>
  </si>
  <si>
    <t>UT23-TC005</t>
  </si>
  <si>
    <t>queueStatus = CANCELLED • save 1 ครั้ง</t>
  </si>
  <si>
    <t>CALLED→WAITING</t>
  </si>
  <si>
    <t>UT23-TC006</t>
  </si>
  <si>
    <t>ValidationException "Queue status cannot transition from CALLED to WAITING"</t>
  </si>
  <si>
    <t>CALLED→CALLED</t>
  </si>
  <si>
    <t>UT23-TC007</t>
  </si>
  <si>
    <t>CALLED→IN_SERVICE</t>
  </si>
  <si>
    <t>UT23-TC008</t>
  </si>
  <si>
    <t>queueStatus = IN_SERVICE • save 1 ครั้ง</t>
  </si>
  <si>
    <t>CALLED→COMPLETED</t>
  </si>
  <si>
    <t>UT23-TC009</t>
  </si>
  <si>
    <t>ValidationException "Queue status cannot transition from CALLED to COMPLETED"</t>
  </si>
  <si>
    <t>CALLED→CANCELLED</t>
  </si>
  <si>
    <t>UT23-TC010</t>
  </si>
  <si>
    <t>IN_SERVICE→WAITING</t>
  </si>
  <si>
    <t>UT23-TC011</t>
  </si>
  <si>
    <t>ValidationException "Queue status cannot transition from IN_SERVICE to WAITING"</t>
  </si>
  <si>
    <t>IN_SERVICE→CALLED</t>
  </si>
  <si>
    <t>UT23-TC012</t>
  </si>
  <si>
    <t>ValidationException "Queue status cannot transition from IN_SERVICE to CALLED"</t>
  </si>
  <si>
    <t>IN_SERVICE→IN_SERVICE</t>
  </si>
  <si>
    <t>UT23-TC013</t>
  </si>
  <si>
    <t>IN_SERVICE→COMPLETED</t>
  </si>
  <si>
    <t>UT23-TC014</t>
  </si>
  <si>
    <t>queueStatus = COMPLETED • save 1 ครั้ง</t>
  </si>
  <si>
    <t>IN_SERVICE→CANCELLED</t>
  </si>
  <si>
    <t>UT23-TC015</t>
  </si>
  <si>
    <t>ValidationException "Queue status cannot transition from IN_SERVICE to CANCELLED"</t>
  </si>
  <si>
    <t>COMPLETED→WAITING</t>
  </si>
  <si>
    <t>UT23-TC016</t>
  </si>
  <si>
    <t>ValidationException "Queue status cannot transition from COMPLETED to WAITING"</t>
  </si>
  <si>
    <t>COMPLETED→CALLED</t>
  </si>
  <si>
    <t>UT23-TC017</t>
  </si>
  <si>
    <t>ValidationException "Queue status cannot transition from COMPLETED to CALLED"</t>
  </si>
  <si>
    <t>COMPLETED→IN_SERVICE</t>
  </si>
  <si>
    <t>UT23-TC018</t>
  </si>
  <si>
    <t>ValidationException "Queue status cannot transition from COMPLETED to IN_SERVICE"</t>
  </si>
  <si>
    <t>COMPLETED→COMPLETED</t>
  </si>
  <si>
    <t>UT23-TC019</t>
  </si>
  <si>
    <t>COMPLETED→CANCELLED</t>
  </si>
  <si>
    <t>UT23-TC020</t>
  </si>
  <si>
    <t>ValidationException "Queue status cannot transition from COMPLETED to CANCELLED"</t>
  </si>
  <si>
    <t>CANCELLED→WAITING</t>
  </si>
  <si>
    <t>UT23-TC021</t>
  </si>
  <si>
    <t>ValidationException "Queue status cannot transition from CANCELLED to WAITING"</t>
  </si>
  <si>
    <t>CANCELLED→CALLED</t>
  </si>
  <si>
    <t>UT23-TC022</t>
  </si>
  <si>
    <t>ValidationException "Queue status cannot transition from CANCELLED to CALLED"</t>
  </si>
  <si>
    <t>CANCELLED→IN_SERVICE</t>
  </si>
  <si>
    <t>UT23-TC023</t>
  </si>
  <si>
    <t>ValidationException "Queue status cannot transition from CANCELLED to IN_SERVICE"</t>
  </si>
  <si>
    <t>CANCELLED→COMPLETED</t>
  </si>
  <si>
    <t>UT23-TC024</t>
  </si>
  <si>
    <t>ValidationException "Queue status cannot transition from CANCELLED to COMPLETED"</t>
  </si>
  <si>
    <t>CANCELLED→CANCELLED</t>
  </si>
  <si>
    <t>UT23-TC025</t>
  </si>
  <si>
    <t>UT23-TC026</t>
  </si>
  <si>
    <t>ValidationException "Queue status is required"</t>
  </si>
  <si>
    <t>EC1 (action) = { START, COMPLETE }</t>
  </si>
  <si>
    <t>EC2 (therapistId) = { ตรงกับ booking, ไม่ตรง/null }</t>
  </si>
  <si>
    <t>C1: action</t>
  </si>
  <si>
    <t>START</t>
  </si>
  <si>
    <t>COMPLETE</t>
  </si>
  <si>
    <t>C2: therapistId ตรงกับ booking</t>
  </si>
  <si>
    <t>C3: สถานะ booking</t>
  </si>
  <si>
    <t>≠ CHECKED_IN</t>
  </si>
  <si>
    <t>≠ IN_SERVICE หรือคิว ≠ IN_SERVICE</t>
  </si>
  <si>
    <t>C4: สถานะคิว</t>
  </si>
  <si>
    <t>≠ CALLED</t>
  </si>
  <si>
    <t>A1: ValidationException ไม่ใช่หมอนวดที่รับคิว</t>
  </si>
  <si>
    <t>A2: ValidationException สถานะไม่ถูกต้อง</t>
  </si>
  <si>
    <t>A3: booking IN_SERVICE, actualStartTime, ห้อง OCCUPIED, คิว IN_SERVICE, publish event</t>
  </si>
  <si>
    <t>A4: booking COMPLETED, actualEndTime, ห้อง CLEANING, คิว COMPLETED, publish event</t>
  </si>
  <si>
    <t>TherapistExecutionServiceImpl – เริ่ม/จบการให้บริการ</t>
  </si>
  <si>
    <t>startService(queueId, therapistId) • completeService(queueId, therapistId)</t>
  </si>
  <si>
    <t>UC-16 • UC-17 • SRS 5.2 (ห้อง OCCUPIED / CLEANING) • Observer</t>
  </si>
  <si>
    <t>action</t>
  </si>
  <si>
    <t>booking / คิว</t>
  </si>
  <si>
    <t>UT24-TC001</t>
  </si>
  <si>
    <t>8</t>
  </si>
  <si>
    <t>CHECKED_IN / CALLED</t>
  </si>
  <si>
    <t>ValidationException "...not assigned to the specified therapist"</t>
  </si>
  <si>
    <t>UT24-TC002</t>
  </si>
  <si>
    <t>ValidationException (therapistId null)</t>
  </si>
  <si>
    <t>UT24-TC003</t>
  </si>
  <si>
    <t>CONFIRMED / CALLED</t>
  </si>
  <si>
    <t>ValidationException "Only checked-in bookings can start service"</t>
  </si>
  <si>
    <t>UT24-TC004</t>
  </si>
  <si>
    <t>CHECKED_IN / WAITING</t>
  </si>
  <si>
    <t>ValidationException "The customer must be called..."</t>
  </si>
  <si>
    <t>UT24-TC005</t>
  </si>
  <si>
    <t>booking IN_SERVICE, actualStartTime ไม่ null, R101 OCCUPIED, updateQueueStatus(IN_SERVICE), event CHECKED_IN→IN_SERVICE</t>
  </si>
  <si>
    <t>UT24-TC006</t>
  </si>
  <si>
    <t>IN_SERVICE / IN_SERVICE</t>
  </si>
  <si>
    <t>ValidationException ไม่ใช่หมอนวดที่รับคิว</t>
  </si>
  <si>
    <t>UT24-TC007</t>
  </si>
  <si>
    <t>IN_SERVICE / CALLED</t>
  </si>
  <si>
    <t>ValidationException "Only an in-service queue item can be completed"</t>
  </si>
  <si>
    <t>UT24-TC008</t>
  </si>
  <si>
    <t>booking COMPLETED, actualEndTime ไม่ null, R101 CLEANING, updateQueueStatus(COMPLETED), event IN_SERVICE→COMPLETED</t>
  </si>
  <si>
    <t>queueNumber = "Q001"</t>
  </si>
  <si>
    <t>queueNumber = "Q004"</t>
  </si>
  <si>
    <t>queueNumber = "Q002"</t>
  </si>
  <si>
    <t>สร้างคิวใหม่ status WAITING, priority 0</t>
  </si>
  <si>
    <t>คืน Q002 เดิม ไม่สร้างใหม่ ไม่ publish event</t>
  </si>
  <si>
    <t>CHECKED_IN, save booking, publish event</t>
  </si>
  <si>
    <t>คืนคิวเดิม ไม่เรียก save</t>
  </si>
  <si>
    <t>queueStatus = CALLED</t>
  </si>
  <si>
    <t>queueStatus = CANCELLED</t>
  </si>
  <si>
    <t>queueStatus = COMPLETED</t>
  </si>
  <si>
    <t>DEF-008, DEF-009, DEF-010</t>
  </si>
  <si>
    <t>checkAvailability คืนรอบเวลาผิดเมื่อ durationMinutes ยาวจนเวลาวนข้ามเที่ยงคืน</t>
  </si>
  <si>
    <t>service/impl/AvailabilityServiceImpl.java บรรทัด 129 ใช้ LocalTime.plusMinutes ซึ่งวนรอบ 24 ชม. • durationMinutes มาจาก query parameter สาธารณะ • UT10-TC008</t>
  </si>
  <si>
    <t>DEF-010</t>
  </si>
  <si>
    <t>Review</t>
  </si>
  <si>
    <t>UT25 – ReviewServiceImpl.submitReview – คะแนน 3 ด้าน</t>
  </si>
  <si>
    <t>UT26 – ReviewServiceImpl.submitReview – เงื่อนไขอื่น</t>
  </si>
  <si>
    <t>DEF-011</t>
  </si>
  <si>
    <t>ผู้ใช้คนใดก็รีวิว booking ของคนอื่นได้</t>
  </si>
  <si>
    <t>service/impl/ReviewServiceImpl.submitReview และ ReviewController ไม่รับ/ไม่ตรวจผู้ใช้ปัจจุบัน • ผิด BR-SEC-01 • UT26-TC010</t>
  </si>
  <si>
    <t>overallRating</t>
  </si>
  <si>
    <t>therapistRating</t>
  </si>
  <si>
    <t>cleanlinessRating</t>
  </si>
  <si>
    <t>ReviewServiceImpl.submitReview – คะแนน 3 ด้าน</t>
  </si>
  <si>
    <t>Review submitReview(bookingId, overallRating, therapistRating, cleanlinessRating, comment)</t>
  </si>
  <si>
    <t>4</t>
  </si>
  <si>
    <t>SRS 3.4 (ให้คะแนน 1–5 ดาว) • UC-18</t>
  </si>
  <si>
    <t>UT25-TC001</t>
  </si>
  <si>
    <t>บันทึกรีวิวสำเร็จ (nom)</t>
  </si>
  <si>
    <t>UT25-TC002</t>
  </si>
  <si>
    <t>ValidationException "Overall rating must be between 1 and 5" • ไม่บันทึก</t>
  </si>
  <si>
    <t>UT25-TC003</t>
  </si>
  <si>
    <t>บันทึกรีวิวสำเร็จ (saveAndFlush 1 ครั้ง)</t>
  </si>
  <si>
    <t>UT25-TC004</t>
  </si>
  <si>
    <t>UT25-TC005</t>
  </si>
  <si>
    <t>UT25-TC006</t>
  </si>
  <si>
    <t>UT25-TC007</t>
  </si>
  <si>
    <t>UT25-TC008</t>
  </si>
  <si>
    <t>ValidationException "Therapist rating must be between 1 and 5" • ไม่บันทึก</t>
  </si>
  <si>
    <t>UT25-TC009</t>
  </si>
  <si>
    <t>UT25-TC010</t>
  </si>
  <si>
    <t>UT25-TC011</t>
  </si>
  <si>
    <t>UT25-TC012</t>
  </si>
  <si>
    <t>UT25-TC013</t>
  </si>
  <si>
    <t>UT25-TC014</t>
  </si>
  <si>
    <t>ValidationException "Cleanliness rating must be between 1 and 5" • ไม่บันทึก</t>
  </si>
  <si>
    <t>UT25-TC015</t>
  </si>
  <si>
    <t>UT25-TC016</t>
  </si>
  <si>
    <t>UT25-TC017</t>
  </si>
  <si>
    <t>UT25-TC018</t>
  </si>
  <si>
    <t>UT25-TC019</t>
  </si>
  <si>
    <t>booking COMPLETED ยังไม่มีรีวิว</t>
  </si>
  <si>
    <t>comment มีช่องว่างหน้า/หลัง → trim</t>
  </si>
  <si>
    <t>booking ยังไม่ COMPLETED</t>
  </si>
  <si>
    <t>comment ว่างหรือช่องว่างล้วน → null</t>
  </si>
  <si>
    <t>รีวิวซ้ำ</t>
  </si>
  <si>
    <t>หมอนวดมีรีวิว 5, 4, 4 → average 4.33</t>
  </si>
  <si>
    <t>คะแนน = null</t>
  </si>
  <si>
    <t>booking ไม่มีหมอนวด → ไม่คำนวณ average และไม่ error</t>
  </si>
  <si>
    <t>ผู้รีวิวไม่ใช่เจ้าของ booking</t>
  </si>
  <si>
    <t>ReviewServiceImpl.submitReview – เงื่อนไขอื่น</t>
  </si>
  <si>
    <t>submitReview(...) • refreshTherapistAverageRating • normalizeComment</t>
  </si>
  <si>
    <t>UC-18 • SRS 3.4 • BR-SEC-01</t>
  </si>
  <si>
    <t>bookingId / สถานะ</t>
  </si>
  <si>
    <t>comment / อื่น ๆ</t>
  </si>
  <si>
    <t>UT26-TC001</t>
  </si>
  <si>
    <t>10 / COMPLETED</t>
  </si>
  <si>
    <t>"นวดดีมาก"</t>
  </si>
  <si>
    <t>(V1) บันทึกสำเร็จ, booking.review ถูกตั้งค่า</t>
  </si>
  <si>
    <t>UT26-TC002</t>
  </si>
  <si>
    <t>"  นวดดีมาก  "</t>
  </si>
  <si>
    <t>(V2) comment = "นวดดีมาก"</t>
  </si>
  <si>
    <t>UT26-TC003</t>
  </si>
  <si>
    <t>(V3) comment = null</t>
  </si>
  <si>
    <t>UT26-TC004</t>
  </si>
  <si>
    <t>รีวิวหมอนวด T5 รวม 5, 4, 4</t>
  </si>
  <si>
    <t>(V4) T5.averageRating = 4.33</t>
  </si>
  <si>
    <t>UT26-TC005</t>
  </si>
  <si>
    <t>30 / COMPLETED (therapist = null)</t>
  </si>
  <si>
    <t>(V5) บันทึกสำเร็จ ไม่เกิด NullPointerException</t>
  </si>
  <si>
    <t>UT26-TC006</t>
  </si>
  <si>
    <t>UT26-TC007</t>
  </si>
  <si>
    <t>10 / CONFIRMED</t>
  </si>
  <si>
    <t>(I2) ValidationException "...only be submitted for a completed booking"</t>
  </si>
  <si>
    <t>UT26-TC008</t>
  </si>
  <si>
    <t>10 / COMPLETED มีรีวิวแล้ว</t>
  </si>
  <si>
    <t>(I3) ConflictException</t>
  </si>
  <si>
    <t>UT26-TC009</t>
  </si>
  <si>
    <t>overallRating = null</t>
  </si>
  <si>
    <t>(I4) ValidationException</t>
  </si>
  <si>
    <t>บันทึกรีวิวสำเร็จ</t>
  </si>
  <si>
    <t>บันทึกสำเร็จ</t>
  </si>
  <si>
    <t>comment = "นวดดีมาก"</t>
  </si>
  <si>
    <t>comment = null</t>
  </si>
  <si>
    <t>T5.averageRating = 4.33</t>
  </si>
  <si>
    <t>Auth &amp; User</t>
  </si>
  <si>
    <t>UT27 – AuthServiceImpl.login</t>
  </si>
  <si>
    <t>UT28 – AuthServiceImpl.register</t>
  </si>
  <si>
    <t>UT29 – UserServiceImpl.updateProfile</t>
  </si>
  <si>
    <t>UT30 – UserSessionServiceImpl – สถานะออนไลน์ (หน้าต่าง 15 นาที)</t>
  </si>
  <si>
    <t>UT31 – JwtTokenProvider</t>
  </si>
  <si>
    <t>C1: พบผู้ใช้จาก identifier</t>
  </si>
  <si>
    <t>C2: isActive = true</t>
  </si>
  <si>
    <t>C3: รหัสผ่านถูกต้อง</t>
  </si>
  <si>
    <t>A1: BusinessException 401 "อีเมลหรือรหัสผ่านไม่ถูกต้อง"</t>
  </si>
  <si>
    <t>A2: BusinessException 401 "บัญชีนี้ถูกระงับ..."</t>
  </si>
  <si>
    <t>A3: ตั้ง lastLoginAt, save, คืน token + role</t>
  </si>
  <si>
    <t>AuthServiceImpl.login</t>
  </si>
  <si>
    <t>AuthResponseDTO login(LoginRequestDTO request) → ค้นหาด้วย email → username → เบอร์โทร</t>
  </si>
  <si>
    <t>UC-02 • SRS 7.4 (BCrypt, JWT)</t>
  </si>
  <si>
    <t>identifier</t>
  </si>
  <si>
    <t>password</t>
  </si>
  <si>
    <t>สภาพบัญชี</t>
  </si>
  <si>
    <t>UT27-TC001</t>
  </si>
  <si>
    <t>nobody@test.com</t>
  </si>
  <si>
    <t>x</t>
  </si>
  <si>
    <t>BusinessException 401 "อีเมลหรือรหัสผ่านไม่ถูกต้อง"</t>
  </si>
  <si>
    <t>UT27-TC002</t>
  </si>
  <si>
    <t>customer@test.com</t>
  </si>
  <si>
    <t>customer1234</t>
  </si>
  <si>
    <t>isActive = false</t>
  </si>
  <si>
    <t>BusinessException 401 "บัญชีนี้ถูกระงับการใช้งาน..." • ไม่ตรวจรหัสผ่าน</t>
  </si>
  <si>
    <t>UT27-TC003</t>
  </si>
  <si>
    <t>wrong</t>
  </si>
  <si>
    <t>active</t>
  </si>
  <si>
    <t>BusinessException 401 "อีเมลหรือรหัสผ่านไม่ถูกต้อง" • lastLoginAt ไม่เปลี่ยน</t>
  </si>
  <si>
    <t>UT27-TC004</t>
  </si>
  <si>
    <t>สำเร็จ: token จาก JwtTokenProvider, role = CUSTOMER, lastLoginAt ถูกตั้ง, save 1 ครั้ง</t>
  </si>
  <si>
    <t>UT27-TC005</t>
  </si>
  <si>
    <t>customer</t>
  </si>
  <si>
    <t>active (ค้นด้วย username)</t>
  </si>
  <si>
    <t>สำเร็จ (findByEmail ว่าง → findByUsername)</t>
  </si>
  <si>
    <t>UT27-TC006</t>
  </si>
  <si>
    <t>081-000-3333</t>
  </si>
  <si>
    <t>active (ค้นด้วยเบอร์)</t>
  </si>
  <si>
    <t>สำเร็จ (ค้นถึง findByPhoneNumber)</t>
  </si>
  <si>
    <t>UT27-TC007</t>
  </si>
  <si>
    <t>"  customer@test.com  "</t>
  </si>
  <si>
    <t>สำเร็จ (identifier ถูก trim)</t>
  </si>
  <si>
    <t>อีเมลและเบอร์ไม่ซ้ำ</t>
  </si>
  <si>
    <t>อีเมลซ้ำ</t>
  </si>
  <si>
    <t>ข้อมูลมีช่องว่างหน้า/หลัง → trim</t>
  </si>
  <si>
    <t>เบอร์โทรซ้ำ</t>
  </si>
  <si>
    <t>ซ้ำทั้งคู่ → แจ้งเรื่องอีเมลก่อน</t>
  </si>
  <si>
    <t>AuthServiceImpl.register</t>
  </si>
  <si>
    <t>AuthResponseDTO register(RegisterRequestDTO request)</t>
  </si>
  <si>
    <t>UC-01</t>
  </si>
  <si>
    <t>email</t>
  </si>
  <si>
    <t>phoneNumber</t>
  </si>
  <si>
    <t>UT28-TC001</t>
  </si>
  <si>
    <t>new@test.com</t>
  </si>
  <si>
    <t>0812223333</t>
  </si>
  <si>
    <t>ไม่ซ้ำ</t>
  </si>
  <si>
    <t>(V1) save Customer: role CUSTOMER, username = email, passwordHash = "hashed" (ไม่เก็บรหัสจริง) • คืน token</t>
  </si>
  <si>
    <t>UT28-TC002</t>
  </si>
  <si>
    <t>" new@test.com "</t>
  </si>
  <si>
    <t>" 0812223333 "</t>
  </si>
  <si>
    <t>(V2) email และ phone ถูก trim</t>
  </si>
  <si>
    <t>UT28-TC003</t>
  </si>
  <si>
    <t>อีเมลมีแล้ว</t>
  </si>
  <si>
    <t>(I1) ConflictException "อีเมลนี้ถูกใช้งานแล้ว..." • ไม่ save</t>
  </si>
  <si>
    <t>UT28-TC004</t>
  </si>
  <si>
    <t>เบอร์มีแล้ว</t>
  </si>
  <si>
    <t>(I2) ConflictException "เบอร์โทรศัพท์นี้ถูกใช้งานแล้ว..."</t>
  </si>
  <si>
    <t>UT28-TC005</t>
  </si>
  <si>
    <t>ซ้ำทั้งคู่</t>
  </si>
  <si>
    <t>(I3) ConflictException เรื่องอีเมล</t>
  </si>
  <si>
    <t>C1: พบผู้ใช้</t>
  </si>
  <si>
    <t>C2: อีเมลซ้ำกับคนอื่น</t>
  </si>
  <si>
    <t>C3: เบอร์ซ้ำกับคนอื่น</t>
  </si>
  <si>
    <t>C4: ส่ง newPassword</t>
  </si>
  <si>
    <t>C5: currentPassword ถูกต้อง</t>
  </si>
  <si>
    <t>C6: ผู้ใช้เป็น Customer</t>
  </si>
  <si>
    <t>A1: NotFoundException</t>
  </si>
  <si>
    <t>A2: ConflictException</t>
  </si>
  <si>
    <t>A3: ValidationException รหัสผ่านปัจจุบันไม่ถูกต้อง</t>
  </si>
  <si>
    <t>A4: เปลี่ยน passwordHash</t>
  </si>
  <si>
    <t>A5: บันทึกชื่อ/อีเมล/เบอร์ (trim)</t>
  </si>
  <si>
    <t>A6: บันทึก healthNotes, preferredPressure</t>
  </si>
  <si>
    <t>UserServiceImpl.updateProfile</t>
  </si>
  <si>
    <t>UserResponseDTO updateProfile(Long userId, UpdateProfileRequestDTO request)</t>
  </si>
  <si>
    <t>SRS 3.4 (หน้าโปรไฟล์) • BR-SEC-01</t>
  </si>
  <si>
    <t>userId</t>
  </si>
  <si>
    <t>UT29-TC001</t>
  </si>
  <si>
    <t>ข้อมูลปกติ</t>
  </si>
  <si>
    <t>UT29-TC002</t>
  </si>
  <si>
    <t>email = owner@fiwdee...</t>
  </si>
  <si>
    <t>อีเมลเป็นของ user#60</t>
  </si>
  <si>
    <t>ConflictException อีเมลซ้ำ • ไม่ save</t>
  </si>
  <si>
    <t>UT29-TC003</t>
  </si>
  <si>
    <t>phone ซ้ำ</t>
  </si>
  <si>
    <t>เบอร์เป็นของ user#50</t>
  </si>
  <si>
    <t>ConflictException เบอร์ซ้ำ</t>
  </si>
  <si>
    <t>UT29-TC004</t>
  </si>
  <si>
    <t>new = "newpass123", current = "wrong"</t>
  </si>
  <si>
    <t>ValidationException "รหัสผ่านปัจจุบันไม่ถูกต้อง"</t>
  </si>
  <si>
    <t>UT29-TC005</t>
  </si>
  <si>
    <t>new = "newpass123", current = ""</t>
  </si>
  <si>
    <t>UT29-TC006</t>
  </si>
  <si>
    <t>new = "newpass123", current = "customer1234"</t>
  </si>
  <si>
    <t>passwordHash = encode("newpass123") • save</t>
  </si>
  <si>
    <t>UT29-TC007</t>
  </si>
  <si>
    <t>1 (Customer)</t>
  </si>
  <si>
    <t>ไม่ส่ง newPassword, healthNotes = "ความดันสูง"</t>
  </si>
  <si>
    <t>passwordHash ไม่เปลี่ยน, healthNotes ถูกบันทึก</t>
  </si>
  <si>
    <t>UT29-TC008</t>
  </si>
  <si>
    <t>50 (Receptionist)</t>
  </si>
  <si>
    <t>fullName = "  สมใจ  "</t>
  </si>
  <si>
    <t>fullName = "สมใจ" • ไม่มี field ของลูกค้า</t>
  </si>
  <si>
    <t>เวลาหลัง touch ล่าสุด</t>
  </si>
  <si>
    <t>0:00</t>
  </si>
  <si>
    <t>UserSessionServiceImpl – สถานะออนไลน์ (หน้าต่าง 15 นาที)</t>
  </si>
  <si>
    <t>5:00</t>
  </si>
  <si>
    <t>touch(userId), isOnline(userId), getSessionStart(userId) → expired เมื่อ Duration.toMinutes() ≥ 15</t>
  </si>
  <si>
    <t>TASKS 2.14 (online window 15 นาที)</t>
  </si>
  <si>
    <t>เวลาหลัง touch ล่าสุด (นาที:วินาที)</t>
  </si>
  <si>
    <t>เหตุการณ์</t>
  </si>
  <si>
    <t>UT30-TC001</t>
  </si>
  <si>
    <t>touch แล้วเช็กทันที</t>
  </si>
  <si>
    <t>isOnline = true, getSessionStart = เวลา touch แรก</t>
  </si>
  <si>
    <t>UT30-TC002</t>
  </si>
  <si>
    <t>isOnline = true</t>
  </si>
  <si>
    <t>UT30-TC003</t>
  </si>
  <si>
    <t>UT30-TC004</t>
  </si>
  <si>
    <t>isOnline = false, getSessionStart = null</t>
  </si>
  <si>
    <t>UT30-TC005</t>
  </si>
  <si>
    <t>isOnline = false</t>
  </si>
  <si>
    <t>UT30-TC006</t>
  </si>
  <si>
    <t>ไม่เคย touch</t>
  </si>
  <si>
    <t>UT30-TC007</t>
  </si>
  <si>
    <t>2:00</t>
  </si>
  <si>
    <t>endSession แล้วเช็ก</t>
  </si>
  <si>
    <t>UT30-TC008</t>
  </si>
  <si>
    <t>20:00</t>
  </si>
  <si>
    <t>touch ใหม่หลังหมดอายุ</t>
  </si>
  <si>
    <t>isOnline = true และ getSessionStart = เวลา touch ใหม่ (เริ่ม session ใหม่)</t>
  </si>
  <si>
    <t>token ที่ระบบออกให้และยังไม่หมดอายุ</t>
  </si>
  <si>
    <t>หมดอายุ (expiration-ms = -1000)</t>
  </si>
  <si>
    <t>payload ถูกแก้</t>
  </si>
  <si>
    <t>เซ็นด้วย key อื่น</t>
  </si>
  <si>
    <t>รูปแบบผิด เช่น "abc"</t>
  </si>
  <si>
    <t>null หรือ ""</t>
  </si>
  <si>
    <t>JwtTokenProvider</t>
  </si>
  <si>
    <t>generateToken(User) • validateToken(String) • getUsernameFromToken(String)</t>
  </si>
  <si>
    <t>SRS 7.4 (JWT Bearer Token)</t>
  </si>
  <si>
    <t>token</t>
  </si>
  <si>
    <t>UT31-TC001</t>
  </si>
  <si>
    <t>generateToken(customer)</t>
  </si>
  <si>
    <t>validateToken</t>
  </si>
  <si>
    <t>(V1) true</t>
  </si>
  <si>
    <t>UT31-TC002</t>
  </si>
  <si>
    <t>getUsernameFromToken</t>
  </si>
  <si>
    <t>(V1) ค่าเท่ากับ user.getUsername()</t>
  </si>
  <si>
    <t>UT31-TC003</t>
  </si>
  <si>
    <t>token ที่ expiration-ms = -1000</t>
  </si>
  <si>
    <t>(I1) false ไม่โยน Exception</t>
  </si>
  <si>
    <t>UT31-TC004</t>
  </si>
  <si>
    <t>แก้ตัวอักษรใน payload</t>
  </si>
  <si>
    <t>(I2) false</t>
  </si>
  <si>
    <t>UT31-TC005</t>
  </si>
  <si>
    <t>token จาก provider ที่ใช้ secret อื่น</t>
  </si>
  <si>
    <t>UT31-TC006</t>
  </si>
  <si>
    <t>"abc"</t>
  </si>
  <si>
    <t>UT31-TC007</t>
  </si>
  <si>
    <t>null และ ""</t>
  </si>
  <si>
    <t>(I5) false</t>
  </si>
  <si>
    <t>save Customer: role CUSTOMER, username = email, passwordHash = "hashed"</t>
  </si>
  <si>
    <t>email และ phone ถูก trim</t>
  </si>
  <si>
    <t>ค่าเท่ากับ user.getUsername()</t>
  </si>
  <si>
    <t>false ไม่โยน Exception</t>
  </si>
  <si>
    <t>Admin resources</t>
  </si>
  <si>
    <t>UT32 – RoomServiceImpl</t>
  </si>
  <si>
    <t>UT33 – ServiceCatalogServiceImpl</t>
  </si>
  <si>
    <t>Weak Robust Equivalence Class Testing (ใช้ค่าขอบเป็นตัวแทนคลาส)</t>
  </si>
  <si>
    <t>UT34 – TherapistServiceImpl.updateSchedule – กะทำงาน</t>
  </si>
  <si>
    <t>UT35 – ShopServiceImpl.updateShop – เวลาเปิด–ปิด</t>
  </si>
  <si>
    <t>เลขห้องใหม่ไม่ซ้ำ</t>
  </si>
  <si>
    <t>เลขห้องซ้ำ (ต่างตัวพิมพ์)</t>
  </si>
  <si>
    <t>แก้ไขห้องโดยใช้เลขเดิมของตัวเอง</t>
  </si>
  <si>
    <t>แก้เป็นเลขของห้องอื่น</t>
  </si>
  <si>
    <t>ลบ = ปิดใช้งาน</t>
  </si>
  <si>
    <t>id ไม่มีอยู่</t>
  </si>
  <si>
    <t>getRooms(activeOnly = true)</t>
  </si>
  <si>
    <t>RoomServiceImpl</t>
  </si>
  <si>
    <t>createRoom, updateRoom, deleteRoom, getRooms</t>
  </si>
  <si>
    <t>UC-24 • BR-RES-01</t>
  </si>
  <si>
    <t>UT32-TC001</t>
  </si>
  <si>
    <t>createRoom</t>
  </si>
  <si>
    <t>" R104 ", SINGLE, 1, 15</t>
  </si>
  <si>
    <t>(V1) save: roomNumber "R104", AVAILABLE, isActive true</t>
  </si>
  <si>
    <t>UT32-TC002</t>
  </si>
  <si>
    <t>updateRoom(101)</t>
  </si>
  <si>
    <t>"R101", VIP, 2, 20</t>
  </si>
  <si>
    <t>(V2) สำเร็จ roomType VIP</t>
  </si>
  <si>
    <t>UT32-TC003</t>
  </si>
  <si>
    <t>deleteRoom(102)</t>
  </si>
  <si>
    <t>(V3) isActive = false และ save (ไม่ลบจริง)</t>
  </si>
  <si>
    <t>UT32-TC004</t>
  </si>
  <si>
    <t>getRooms(true)</t>
  </si>
  <si>
    <t>(V4) เรียก findByIsActiveTrue ไม่เรียก findAll</t>
  </si>
  <si>
    <t>UT32-TC005</t>
  </si>
  <si>
    <t>"r101"</t>
  </si>
  <si>
    <t>(I1) ConflictException "Room number already exists"</t>
  </si>
  <si>
    <t>UT32-TC006</t>
  </si>
  <si>
    <t>"R102"</t>
  </si>
  <si>
    <t>(I2) ConflictException</t>
  </si>
  <si>
    <t>UT32-TC007</t>
  </si>
  <si>
    <t>updateRoom(999) / deleteRoom(999)</t>
  </si>
  <si>
    <t>(I3) NotFoundException</t>
  </si>
  <si>
    <t>รหัสใหม่ + option อย่างน้อย 1 รายการ</t>
  </si>
  <si>
    <t>durationOptions ว่างหรือ null</t>
  </si>
  <si>
    <t>duration = 1 (ค่าบวกต่ำสุด)</t>
  </si>
  <si>
    <t>duration ≤ 0</t>
  </si>
  <si>
    <t>price = 0.00</t>
  </si>
  <si>
    <t>price &lt; 0</t>
  </si>
  <si>
    <t>update ด้วยรหัสเดิมของตัวเอง</t>
  </si>
  <si>
    <t>รหัสซ้ำ (ต่างตัวพิมพ์)</t>
  </si>
  <si>
    <t>getActiveService ของบริการที่ปิดอยู่</t>
  </si>
  <si>
    <t>ServiceCatalogServiceImpl</t>
  </si>
  <si>
    <t>Functional testing - Weak Robust Equivalence Class Testing (ใช้ค่าขอบเป็นตัวแทนคลาส)</t>
  </si>
  <si>
    <t>createService, updateService, getActiveService, deleteService</t>
  </si>
  <si>
    <t>UC-25 • SRS 6.3</t>
  </si>
  <si>
    <t>serviceCode</t>
  </si>
  <si>
    <t>durationOptions</t>
  </si>
  <si>
    <t>UT33-TC001</t>
  </si>
  <si>
    <t>createService</t>
  </si>
  <si>
    <t>AROMA-01</t>
  </si>
  <si>
    <t>[60/800]</t>
  </si>
  <si>
    <t>(V1) save, isActive true, option 1 รายการ active</t>
  </si>
  <si>
    <t>UT33-TC002</t>
  </si>
  <si>
    <t>AROMA-02</t>
  </si>
  <si>
    <t>[1/800]</t>
  </si>
  <si>
    <t>(V2) สำเร็จ</t>
  </si>
  <si>
    <t>UT33-TC003</t>
  </si>
  <si>
    <t>AROMA-03</t>
  </si>
  <si>
    <t>[60/0.00]</t>
  </si>
  <si>
    <t>(V3) สำเร็จ</t>
  </si>
  <si>
    <t>UT33-TC004</t>
  </si>
  <si>
    <t>updateService(1)</t>
  </si>
  <si>
    <t>thai-01</t>
  </si>
  <si>
    <t>[60/600, 90/850]</t>
  </si>
  <si>
    <t>(V4) สำเร็จ option ถูกแทนที่เป็น 2 รายการ</t>
  </si>
  <si>
    <t>UT33-TC005</t>
  </si>
  <si>
    <t>AROMA-04</t>
  </si>
  <si>
    <t>[] และ null</t>
  </si>
  <si>
    <t>(I1) ValidationException "At least one duration option is required"</t>
  </si>
  <si>
    <t>UT33-TC006</t>
  </si>
  <si>
    <t>AROMA-05</t>
  </si>
  <si>
    <t>[0/800] และ [-1/800]</t>
  </si>
  <si>
    <t>(I2) ValidationException</t>
  </si>
  <si>
    <t>UT33-TC007</t>
  </si>
  <si>
    <t>AROMA-06</t>
  </si>
  <si>
    <t>[60/-0.01]</t>
  </si>
  <si>
    <t>(I3) ValidationException</t>
  </si>
  <si>
    <t>UT33-TC008</t>
  </si>
  <si>
    <t>[60/600]</t>
  </si>
  <si>
    <t>(I4) ConflictException "Service code already exists"</t>
  </si>
  <si>
    <t>UT33-TC009</t>
  </si>
  <si>
    <t>getActiveService(3)</t>
  </si>
  <si>
    <t>บริการ 3 inactive</t>
  </si>
  <si>
    <t>ความยาวกะ (นาที)</t>
  </si>
  <si>
    <t>ช่องว่างระหว่างกะ (นาที)</t>
  </si>
  <si>
    <t>TherapistServiceImpl.updateSchedule – กะทำงาน</t>
  </si>
  <si>
    <t>480</t>
  </si>
  <si>
    <t>60</t>
  </si>
  <si>
    <t>updateSchedule(therapistId, request) → validateShifts: end &gt; start และกะต้องไม่ทับกัน</t>
  </si>
  <si>
    <t>UC-27 • SRS 6.4 (Work Shifts)</t>
  </si>
  <si>
    <t>dayOff</t>
  </si>
  <si>
    <t>shifts</t>
  </si>
  <si>
    <t>UT34-TC001</t>
  </si>
  <si>
    <t>[10:00–18:00]</t>
  </si>
  <si>
    <t>บันทึก 1 กะ ชื่อ "Shift", status ACTIVE (nom)</t>
  </si>
  <si>
    <t>UT34-TC002</t>
  </si>
  <si>
    <t>[10:00–10:00]</t>
  </si>
  <si>
    <t>ValidationException "Shift end time must be after start time"</t>
  </si>
  <si>
    <t>UT34-TC003</t>
  </si>
  <si>
    <t>[10:00–10:01]</t>
  </si>
  <si>
    <t>UT34-TC004</t>
  </si>
  <si>
    <t>[10:00–10:02]</t>
  </si>
  <si>
    <t>UT34-TC005</t>
  </si>
  <si>
    <t>[10:00–14:00, 13:59–18:00]</t>
  </si>
  <si>
    <t>ValidationException "Work shifts must not overlap"</t>
  </si>
  <si>
    <t>UT34-TC006</t>
  </si>
  <si>
    <t>[10:00–14:00, 14:00–18:00]</t>
  </si>
  <si>
    <t>บันทึก 2 กะ</t>
  </si>
  <si>
    <t>UT34-TC007</t>
  </si>
  <si>
    <t>[10:00–14:00, 14:01–18:00]</t>
  </si>
  <si>
    <t>UT34-TC008</t>
  </si>
  <si>
    <t>[15:00–18:00, 10:00–14:00] (ไม่เรียงเวลา)</t>
  </si>
  <si>
    <t>บันทึกสำเร็จ (โค้ดเรียงก่อนตรวจ)</t>
  </si>
  <si>
    <t>UT34-TC009</t>
  </si>
  <si>
    <t>ValidationException "Day-off schedules cannot contain work shifts"</t>
  </si>
  <si>
    <t>UT34-TC010</t>
  </si>
  <si>
    <t>[]</t>
  </si>
  <si>
    <t>บันทึกวันหยุด ไม่มีกะ</t>
  </si>
  <si>
    <t>closeTime − openTime (นาที)</t>
  </si>
  <si>
    <t>ShopServiceImpl.updateShop – เวลาเปิด–ปิด</t>
  </si>
  <si>
    <t>updateShop(request) : ถ้าไม่ปิด closeTime ต้องหลัง openTime, วันห้ามซ้ำ, ต้องมีอย่างน้อย 1 วัน</t>
  </si>
  <si>
    <t>UC-23 / SRS 6 (เวลาทำการ) • BR-BKG-02</t>
  </si>
  <si>
    <t>businessHours</t>
  </si>
  <si>
    <t>closed</t>
  </si>
  <si>
    <t>UT35-TC001</t>
  </si>
  <si>
    <t>MONDAY 10:00–22:00</t>
  </si>
  <si>
    <t>บันทึกสำเร็จ (nom)</t>
  </si>
  <si>
    <t>UT35-TC002</t>
  </si>
  <si>
    <t>MONDAY 10:00–09:59</t>
  </si>
  <si>
    <t>ValidationException "Closing time must be after opening time"</t>
  </si>
  <si>
    <t>UT35-TC003</t>
  </si>
  <si>
    <t>MONDAY 10:00–10:00</t>
  </si>
  <si>
    <t>UT35-TC004</t>
  </si>
  <si>
    <t>MONDAY 10:00–10:01</t>
  </si>
  <si>
    <t>UT35-TC005</t>
  </si>
  <si>
    <t>SUNDAY 10:00–09:00</t>
  </si>
  <si>
    <t>บันทึกสำเร็จ (วันปิดไม่ตรวจเวลา)</t>
  </si>
  <si>
    <t>UT35-TC006</t>
  </si>
  <si>
    <t>MONDAY 2 แถว</t>
  </si>
  <si>
    <t>ValidationException "Duplicate business hours day: MONDAY"</t>
  </si>
  <si>
    <t>UT35-TC007</t>
  </si>
  <si>
    <t>[] (ว่าง)</t>
  </si>
  <si>
    <t>ValidationException "Business hours for the week are required"</t>
  </si>
  <si>
    <t>UT35-TC008</t>
  </si>
  <si>
    <t>ไม่มีร้าน active</t>
  </si>
  <si>
    <t>save: roomNumber "R104", AVAILABLE, isActive true</t>
  </si>
  <si>
    <t>สำเร็จ roomType VIP</t>
  </si>
  <si>
    <t>isActive = false และ save</t>
  </si>
  <si>
    <t>เรียก findByIsActiveTrue ไม่เรียก findAl</t>
  </si>
  <si>
    <t>save, isActive true, option 1 รายการ active</t>
  </si>
  <si>
    <t>บันทึก 1 กะ ชื่อ "Shift", status ACTIVE</t>
  </si>
  <si>
    <t>end − start (วัน)</t>
  </si>
  <si>
    <t>refundedAt เทียบขอบล่าง</t>
  </si>
  <si>
    <t>refundedAt เทียบขอบบน</t>
  </si>
  <si>
    <t>31/10 23:59:59.999999999</t>
  </si>
  <si>
    <t>30/11 23:59:59.999999998</t>
  </si>
  <si>
    <t>ReportServiceImpl.getRevenueReport – ช่วงวันที่</t>
  </si>
  <si>
    <t>01/11 00:00</t>
  </si>
  <si>
    <t>30/11 23:59:59.999999999</t>
  </si>
  <si>
    <t>01/11 00:00:00.000000001</t>
  </si>
  <si>
    <t>01/12 00:00</t>
  </si>
  <si>
    <t>RevenueReportDTO getRevenueReport(LocalDate startDate, LocalDate endDate)</t>
  </si>
  <si>
    <t>UC-22 • TASKS 3.1</t>
  </si>
  <si>
    <t>startDate</t>
  </si>
  <si>
    <t>endDate</t>
  </si>
  <si>
    <t>refundedAt</t>
  </si>
  <si>
    <t>UT36-TC001</t>
  </si>
  <si>
    <t>2026-11-02</t>
  </si>
  <si>
    <t>2026-11-01</t>
  </si>
  <si>
    <t>ValidationException "Start date must be before or equal to end date"</t>
  </si>
  <si>
    <t>UT36-TC002</t>
  </si>
  <si>
    <t>สำเร็จ (ช่วง 1 วัน)</t>
  </si>
  <si>
    <t>UT36-TC003</t>
  </si>
  <si>
    <t>UT36-TC004</t>
  </si>
  <si>
    <t>2026-11-30</t>
  </si>
  <si>
    <t>refundedTotal = 0 (นอกช่วง)</t>
  </si>
  <si>
    <t>UT36-TC005</t>
  </si>
  <si>
    <t>refundedTotal = 100.00</t>
  </si>
  <si>
    <t>UT36-TC006</t>
  </si>
  <si>
    <t>UT36-TC007</t>
  </si>
  <si>
    <t>UT36-TC008</t>
  </si>
  <si>
    <t>UT36-TC009</t>
  </si>
  <si>
    <t>refundedTotal = 0</t>
  </si>
  <si>
    <t>UT36-TC010</t>
  </si>
  <si>
    <t>ValidationException "Start date and end date must not be null"</t>
  </si>
  <si>
    <t>Report</t>
  </si>
  <si>
    <t>UT36 – ReportServiceImpl.getRevenueReport – ช่วงวันที่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</si>
</sst>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22"/>
      <scheme val="minor"/>
    </font>
    <font>
      <b/>
      <sz val="16"/>
      <name val="TH SarabunPSK"/>
      <family val="2"/>
    </font>
    <font>
      <sz val="11"/>
      <color theme="1"/>
      <name val="TH SarabunPSK"/>
      <family val="2"/>
    </font>
    <font>
      <sz val="16"/>
      <name val="TH SarabunPSK"/>
      <family val="2"/>
    </font>
    <font>
      <b/>
      <sz val="16"/>
      <color rgb="FFFFFFFF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8"/>
      <name val="TH SarabunPSK"/>
      <family val="2"/>
    </font>
    <font>
      <i/>
      <sz val="18"/>
      <name val="TH SarabunPSK"/>
      <family val="2"/>
    </font>
    <font>
      <u/>
      <sz val="11"/>
      <color theme="10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DDEBF7"/>
      </patternFill>
    </fill>
    <fill>
      <patternFill patternType="solid">
        <fgColor rgb="FF1F5C7A"/>
        <bgColor rgb="FF008080"/>
      </patternFill>
    </fill>
    <fill>
      <patternFill patternType="solid">
        <fgColor rgb="FF92D050"/>
        <bgColor rgb="FF969696"/>
      </patternFill>
    </fill>
    <fill>
      <patternFill patternType="solid">
        <fgColor rgb="FFFF0000"/>
        <bgColor rgb="FF993300"/>
      </patternFill>
    </fill>
    <fill>
      <patternFill patternType="solid">
        <fgColor rgb="FFC6EFCE"/>
        <bgColor rgb="FFDDEBF7"/>
      </patternFill>
    </fill>
    <fill>
      <patternFill patternType="solid">
        <fgColor rgb="FFDBDBDB"/>
        <bgColor rgb="FFD9E1F2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8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top" wrapText="1"/>
    </xf>
    <xf numFmtId="0" fontId="7" fillId="0" borderId="1" xfId="0" applyFont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top" wrapText="1"/>
    </xf>
    <xf numFmtId="0" fontId="6" fillId="0" borderId="1" xfId="0" applyFont="1" applyBorder="1"/>
    <xf numFmtId="0" fontId="5" fillId="1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9" fillId="0" borderId="1" xfId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top" wrapText="1"/>
    </xf>
    <xf numFmtId="0" fontId="5" fillId="7" borderId="0" xfId="0" applyFont="1" applyFill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quotePrefix="1"/>
    <xf numFmtId="14" fontId="7" fillId="0" borderId="1" xfId="0" applyNumberFormat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108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promptpay.io/0812345678/480.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469D-55E7-4F16-B797-78C1D60B492C}">
  <dimension ref="A1:K47"/>
  <sheetViews>
    <sheetView tabSelected="1" topLeftCell="A15" workbookViewId="0">
      <selection activeCell="I14" sqref="I14"/>
    </sheetView>
  </sheetViews>
  <sheetFormatPr defaultRowHeight="16.5" x14ac:dyDescent="0.3"/>
  <cols>
    <col min="1" max="1" width="5.25" customWidth="1"/>
    <col min="2" max="2" width="50.75" customWidth="1"/>
    <col min="3" max="3" width="40.25" customWidth="1"/>
    <col min="4" max="4" width="13.125" customWidth="1"/>
    <col min="5" max="8" width="7.875" customWidth="1"/>
    <col min="9" max="9" width="26.25" customWidth="1"/>
  </cols>
  <sheetData>
    <row r="1" spans="1:11" ht="21" x14ac:dyDescent="0.3">
      <c r="A1" s="26" t="s">
        <v>0</v>
      </c>
      <c r="B1" s="26"/>
      <c r="C1" s="26"/>
      <c r="D1" s="26"/>
      <c r="E1" s="26"/>
      <c r="F1" s="26"/>
      <c r="G1" s="1"/>
      <c r="H1" s="1"/>
      <c r="I1" s="1"/>
    </row>
    <row r="2" spans="1:11" ht="42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1" ht="21" x14ac:dyDescent="0.3">
      <c r="A3" s="27" t="s">
        <v>10</v>
      </c>
      <c r="B3" s="27"/>
      <c r="C3" s="27"/>
      <c r="D3" s="27"/>
      <c r="E3" s="27"/>
      <c r="F3" s="27"/>
      <c r="G3" s="27"/>
      <c r="H3" s="27"/>
      <c r="I3" s="27"/>
    </row>
    <row r="4" spans="1:11" ht="42" x14ac:dyDescent="0.3">
      <c r="A4" s="3">
        <v>1</v>
      </c>
      <c r="B4" s="4" t="s">
        <v>11</v>
      </c>
      <c r="C4" s="4" t="s">
        <v>12</v>
      </c>
      <c r="D4" s="3">
        <f>COUNTA(UT01_CreateBooking_EC!$A$28:$A$42)</f>
        <v>15</v>
      </c>
      <c r="E4" s="3">
        <f>COUNTIF(UT01_CreateBooking_EC!$J$28:$J$42,"Pass")</f>
        <v>15</v>
      </c>
      <c r="F4" s="3">
        <f>COUNTIF(UT01_CreateBooking_EC!$J$28:$J$42,"Fail")</f>
        <v>0</v>
      </c>
      <c r="G4" s="3">
        <f>COUNTIF(UT01_CreateBooking_EC!$J$28:$J$42,"No run")</f>
        <v>0</v>
      </c>
      <c r="H4" s="3">
        <f>COUNTIF(UT01_CreateBooking_EC!$J$28:$J$42,"Block")</f>
        <v>0</v>
      </c>
      <c r="I4" s="4"/>
    </row>
    <row r="5" spans="1:11" ht="64.5" customHeight="1" x14ac:dyDescent="0.3">
      <c r="A5" s="3">
        <v>2</v>
      </c>
      <c r="B5" s="4" t="s">
        <v>219</v>
      </c>
      <c r="C5" s="4" t="s">
        <v>220</v>
      </c>
      <c r="D5" s="3">
        <f>COUNTA(UT02_CreateBooking_DT!$B$29:$B$38)</f>
        <v>10</v>
      </c>
      <c r="E5" s="3">
        <f>COUNTIF(UT02_CreateBooking_DT!$H$29:$H$38,"Pass")</f>
        <v>10</v>
      </c>
      <c r="F5" s="3">
        <f>COUNTIF(UT02_CreateBooking_DT!$H$29:$H$38,"Fail")</f>
        <v>0</v>
      </c>
      <c r="G5" s="3">
        <f>COUNTIF(UT02_CreateBooking_DT!$H$29:$H$38,"No run")</f>
        <v>0</v>
      </c>
      <c r="H5" s="3">
        <f>COUNTIF(UT02_CreateBooking_DT!$H$29:$H$38,"Block")</f>
        <v>0</v>
      </c>
      <c r="I5" s="4"/>
    </row>
    <row r="6" spans="1:11" ht="64.5" customHeight="1" x14ac:dyDescent="0.3">
      <c r="A6" s="3">
        <v>3</v>
      </c>
      <c r="B6" s="4" t="s">
        <v>292</v>
      </c>
      <c r="C6" s="4" t="s">
        <v>293</v>
      </c>
      <c r="D6" s="3">
        <f>COUNTA(UT03_CreateBooking_Time_BVA!$A$11:$A$23)</f>
        <v>13</v>
      </c>
      <c r="E6" s="3">
        <f>COUNTIF(UT03_CreateBooking_Time_BVA!$G$11:$G$23,"Pass")</f>
        <v>13</v>
      </c>
      <c r="F6" s="3">
        <f>COUNTIF(UT03_CreateBooking_Time_BVA!$G$11:$G$23,"Fail")</f>
        <v>0</v>
      </c>
      <c r="G6" s="3">
        <f>COUNTIF(UT03_CreateBooking_Time_BVA!$G$11:$G$23,"No run")</f>
        <v>0</v>
      </c>
      <c r="H6" s="3">
        <f>COUNTIF(UT03_CreateBooking_Time_BVA!$G$11:$G$23,"Block")</f>
        <v>0</v>
      </c>
      <c r="I6" s="4"/>
      <c r="K6" s="40"/>
    </row>
    <row r="7" spans="1:11" ht="63" x14ac:dyDescent="0.3">
      <c r="A7" s="3">
        <v>4</v>
      </c>
      <c r="B7" s="4" t="s">
        <v>449</v>
      </c>
      <c r="C7" s="4" t="s">
        <v>450</v>
      </c>
      <c r="D7" s="3">
        <f>COUNTA(UT04_Overlap_Buffer_BVA!$A$11:$A$23)</f>
        <v>13</v>
      </c>
      <c r="E7" s="3">
        <f>COUNTIF(UT04_Overlap_Buffer_BVA!$H$11:$H$23,"Pass")</f>
        <v>13</v>
      </c>
      <c r="F7" s="3">
        <f>COUNTIF(UT04_Overlap_Buffer_BVA!$H$11:$H$23,"Fail")</f>
        <v>0</v>
      </c>
      <c r="G7" s="3">
        <f>COUNTIF(UT04_Overlap_Buffer_BVA!$H$11:$H$23,"No run")</f>
        <v>0</v>
      </c>
      <c r="H7" s="3">
        <f>COUNTIF(UT04_Overlap_Buffer_BVA!$H$11:$H$23,"Block")</f>
        <v>0</v>
      </c>
      <c r="I7" s="4"/>
    </row>
    <row r="8" spans="1:11" ht="21" x14ac:dyDescent="0.3">
      <c r="A8" s="3">
        <v>5</v>
      </c>
      <c r="B8" s="4" t="s">
        <v>451</v>
      </c>
      <c r="C8" s="4" t="s">
        <v>452</v>
      </c>
      <c r="D8" s="3">
        <f>COUNTA(UT05_CancelBooking_DT!$B$34:$B$45)</f>
        <v>12</v>
      </c>
      <c r="E8" s="3">
        <f>COUNTIF(UT05_CancelBooking_DT!$I$34:$I$45,"Pass")</f>
        <v>12</v>
      </c>
      <c r="F8" s="3">
        <f>COUNTIF(UT05_CancelBooking_DT!$I$34:$I$45,"Fail")</f>
        <v>0</v>
      </c>
      <c r="G8" s="3">
        <f>COUNTIF(UT05_CancelBooking_DT!$I$34:$I$45,"No run")</f>
        <v>0</v>
      </c>
      <c r="H8" s="3">
        <f>COUNTIF(UT05_CancelBooking_DT!$I$34:$I$45,"Block")</f>
        <v>0</v>
      </c>
      <c r="I8" s="4"/>
    </row>
    <row r="9" spans="1:11" ht="42" x14ac:dyDescent="0.3">
      <c r="A9" s="3">
        <v>6</v>
      </c>
      <c r="B9" s="4" t="s">
        <v>675</v>
      </c>
      <c r="C9" s="4" t="s">
        <v>450</v>
      </c>
      <c r="D9" s="3">
        <f>COUNTA(UT06_Cancel_2h_BVA!$A$11:$A$15)</f>
        <v>5</v>
      </c>
      <c r="E9" s="3">
        <f>COUNTIF(UT06_Cancel_2h_BVA!$F$11:$F$15,"Pass")</f>
        <v>5</v>
      </c>
      <c r="F9" s="3">
        <f>COUNTIF(UT06_Cancel_2h_BVA!$F$11:$F$15,"Fail")</f>
        <v>0</v>
      </c>
      <c r="G9" s="3">
        <f>COUNTIF(UT06_Cancel_2h_BVA!$F$11:$F$15,"No run")</f>
        <v>0</v>
      </c>
      <c r="H9" s="3">
        <f>COUNTIF(UT06_Cancel_2h_BVA!$F$11:$F$15,"Block")</f>
        <v>0</v>
      </c>
      <c r="I9" s="4"/>
    </row>
    <row r="10" spans="1:11" ht="42" x14ac:dyDescent="0.3">
      <c r="A10" s="3">
        <v>7</v>
      </c>
      <c r="B10" s="4" t="s">
        <v>676</v>
      </c>
      <c r="C10" s="4" t="s">
        <v>220</v>
      </c>
      <c r="D10" s="3">
        <f>COUNTA(UT07_GetBookingById_DT!$B$26:$B$33)</f>
        <v>7</v>
      </c>
      <c r="E10" s="3">
        <f>COUNTIF(UT07_GetBookingById_DT!$G$26:$G$33,"Pass")</f>
        <v>7</v>
      </c>
      <c r="F10" s="3">
        <f>COUNTIF(UT07_GetBookingById_DT!$G$26:$G$33,"Fail")</f>
        <v>0</v>
      </c>
      <c r="G10" s="3">
        <f>COUNTIF(UT07_GetBookingById_DT!$G$26:$G$33,"No run")</f>
        <v>0</v>
      </c>
      <c r="H10" s="3">
        <f>COUNTIF(UT07_GetBookingById_DT!$G$26:$G$33,"Block")</f>
        <v>0</v>
      </c>
      <c r="I10" s="4"/>
    </row>
    <row r="11" spans="1:11" ht="63" x14ac:dyDescent="0.3">
      <c r="A11" s="3">
        <v>8</v>
      </c>
      <c r="B11" s="4" t="s">
        <v>677</v>
      </c>
      <c r="C11" s="4" t="s">
        <v>678</v>
      </c>
      <c r="D11" s="3">
        <f>COUNTA(UT08_BookingState_DT!$B$31:$B$75)</f>
        <v>44</v>
      </c>
      <c r="E11" s="3">
        <f>COUNTIF(UT08_BookingState_DT!$H$31:$H$75,"Pass")</f>
        <v>44</v>
      </c>
      <c r="F11" s="3">
        <f>COUNTIF(UT08_BookingState_DT!$H$31:$H$75,"Fail")</f>
        <v>0</v>
      </c>
      <c r="G11" s="3">
        <f>COUNTIF(UT08_BookingState_DT!$H$31:$H$75,"No run")</f>
        <v>0</v>
      </c>
      <c r="H11" s="3">
        <f>COUNTIF(UT08_BookingState_DT!$H$31:$H$75,"Block")</f>
        <v>0</v>
      </c>
      <c r="I11" s="4"/>
    </row>
    <row r="12" spans="1:11" ht="22.5" customHeight="1" x14ac:dyDescent="0.3">
      <c r="A12" s="3">
        <v>9</v>
      </c>
      <c r="B12" s="4" t="s">
        <v>708</v>
      </c>
      <c r="C12" s="4" t="s">
        <v>709</v>
      </c>
      <c r="D12" s="3">
        <f>COUNTA(UT09_StateFactory_EC!$A$24:$A$31)</f>
        <v>7</v>
      </c>
      <c r="E12" s="3">
        <f>COUNTIF(UT09_StateFactory_EC!$E$24:$E$31,"Pass")</f>
        <v>7</v>
      </c>
      <c r="F12" s="3">
        <f>COUNTIF(UT09_StateFactory_EC!$E$24:$E$31,"Fail")</f>
        <v>0</v>
      </c>
      <c r="G12" s="3">
        <f>COUNTIF(UT09_StateFactory_EC!$E$24:$E$31,"No run")</f>
        <v>0</v>
      </c>
      <c r="H12" s="3">
        <f>COUNTIF(UT09_StateFactory_EC!$E$24:$E$31,"Block")</f>
        <v>0</v>
      </c>
      <c r="I12" s="4"/>
    </row>
    <row r="13" spans="1:11" ht="64.5" customHeight="1" x14ac:dyDescent="0.3">
      <c r="A13" s="3">
        <v>10</v>
      </c>
      <c r="B13" s="4" t="s">
        <v>740</v>
      </c>
      <c r="C13" s="4" t="s">
        <v>293</v>
      </c>
      <c r="D13" s="3">
        <f>COUNTA(UT10_Availability_BVA!$A$12:$A$19)</f>
        <v>8</v>
      </c>
      <c r="E13" s="3">
        <f>COUNTIF(UT10_Availability_BVA!$E$12:$E$19,"Pass")</f>
        <v>8</v>
      </c>
      <c r="F13" s="3">
        <f>COUNTIF(UT10_Availability_BVA!$E$12:$E$19,"Fail")</f>
        <v>0</v>
      </c>
      <c r="G13" s="3">
        <f>COUNTIF(UT10_Availability_BVA!$E$12:$E$19,"No run")</f>
        <v>0</v>
      </c>
      <c r="H13" s="3">
        <f>COUNTIF(UT10_Availability_BVA!$E$12:$E$19,"Block")</f>
        <v>0</v>
      </c>
      <c r="I13" s="4"/>
    </row>
    <row r="14" spans="1:11" ht="64.5" customHeight="1" x14ac:dyDescent="0.3">
      <c r="A14" s="3">
        <v>11</v>
      </c>
      <c r="B14" s="4" t="s">
        <v>741</v>
      </c>
      <c r="C14" s="4" t="s">
        <v>12</v>
      </c>
      <c r="D14" s="3">
        <f>COUNTA(UT11_Availability_EC!$A$24:$A$32)</f>
        <v>8</v>
      </c>
      <c r="E14" s="3">
        <f>COUNTIF(UT11_Availability_EC!$G$24:$G$32,"Pass")</f>
        <v>8</v>
      </c>
      <c r="F14" s="3">
        <f>COUNTIF(UT11_Availability_EC!$G$24:$G$32,"Fail")</f>
        <v>0</v>
      </c>
      <c r="G14" s="3">
        <f>COUNTIF(UT11_Availability_EC!$G$24:$G$32,"No run")</f>
        <v>0</v>
      </c>
      <c r="H14" s="3">
        <f>COUNTIF(UT11_Availability_EC!$G$24:$G$32,"Block")</f>
        <v>0</v>
      </c>
      <c r="I14" s="4"/>
    </row>
    <row r="15" spans="1:11" ht="64.5" customHeight="1" x14ac:dyDescent="0.3">
      <c r="A15" s="3">
        <v>12</v>
      </c>
      <c r="B15" s="4" t="s">
        <v>743</v>
      </c>
      <c r="C15" s="4" t="s">
        <v>744</v>
      </c>
      <c r="D15" s="3">
        <f>COUNTA(UT12_BookingMapper_EC!$A$23:$A$30)</f>
        <v>7</v>
      </c>
      <c r="E15" s="3">
        <f>COUNTIF(UT12_BookingMapper_EC!$F$23:$F$30,"Pass")</f>
        <v>7</v>
      </c>
      <c r="F15" s="3">
        <f>COUNTIF(UT12_BookingMapper_EC!$F$23:$F$30,"Fail")</f>
        <v>0</v>
      </c>
      <c r="G15" s="3">
        <f>COUNTIF(UT12_BookingMapper_EC!$F$23:$F$30,"No run")</f>
        <v>0</v>
      </c>
      <c r="H15" s="3">
        <f>COUNTIF(UT12_BookingMapper_EC!$F$23:$F$30,"Block")</f>
        <v>0</v>
      </c>
      <c r="I15" s="4"/>
    </row>
    <row r="16" spans="1:11" ht="21" x14ac:dyDescent="0.3">
      <c r="A16" s="27" t="s">
        <v>529</v>
      </c>
      <c r="B16" s="27"/>
      <c r="C16" s="27"/>
      <c r="D16" s="27"/>
      <c r="E16" s="27"/>
      <c r="F16" s="27"/>
      <c r="G16" s="27"/>
      <c r="H16" s="27"/>
      <c r="I16" s="27"/>
    </row>
    <row r="17" spans="1:9" ht="42" x14ac:dyDescent="0.3">
      <c r="A17" s="3">
        <v>13</v>
      </c>
      <c r="B17" s="4" t="s">
        <v>838</v>
      </c>
      <c r="C17" s="4" t="s">
        <v>220</v>
      </c>
      <c r="D17" s="3">
        <f>COUNTA(UT13_ProcessPayment_DT!$B$30:$B$37)</f>
        <v>7</v>
      </c>
      <c r="E17" s="3">
        <f>COUNTIF(UT13_ProcessPayment_DT!$H$30:$H$37,"Pass")</f>
        <v>7</v>
      </c>
      <c r="F17" s="3">
        <f>COUNTIF(UT13_ProcessPayment_DT!$H$30:$H$37,"Fail")</f>
        <v>0</v>
      </c>
      <c r="G17" s="3">
        <f>COUNTIF(UT13_ProcessPayment_DT!$H$30:$H$37,"No run")</f>
        <v>0</v>
      </c>
      <c r="H17" s="3">
        <f>COUNTIF(UT13_ProcessPayment_DT!$H$30:$H$37,"Block")</f>
        <v>0</v>
      </c>
      <c r="I17" s="4"/>
    </row>
    <row r="18" spans="1:9" ht="42" x14ac:dyDescent="0.3">
      <c r="A18" s="3">
        <v>14</v>
      </c>
      <c r="B18" s="4" t="s">
        <v>839</v>
      </c>
      <c r="C18" s="4" t="s">
        <v>12</v>
      </c>
      <c r="D18" s="3">
        <f>COUNTA(UT14_Payment_Promo_Status_EC!$A$23:$A$33)</f>
        <v>10</v>
      </c>
      <c r="E18" s="3">
        <f>COUNTIF(UT14_Payment_Promo_Status_EC!$G$23:$G$33,"Pass")</f>
        <v>7</v>
      </c>
      <c r="F18" s="3">
        <f>COUNTIF(UT14_Payment_Promo_Status_EC!$G$23:$G$33,"Fail")</f>
        <v>3</v>
      </c>
      <c r="G18" s="3">
        <f>COUNTIF(UT14_Payment_Promo_Status_EC!$G$23:$G$33,"No run")</f>
        <v>0</v>
      </c>
      <c r="H18" s="3">
        <f>COUNTIF(UT14_Payment_Promo_Status_EC!$G$23:$G$33,"Block")</f>
        <v>0</v>
      </c>
      <c r="I18" s="4" t="s">
        <v>1412</v>
      </c>
    </row>
    <row r="19" spans="1:9" ht="21" x14ac:dyDescent="0.3">
      <c r="A19" s="3">
        <v>15</v>
      </c>
      <c r="B19" s="4" t="s">
        <v>840</v>
      </c>
      <c r="C19" s="4" t="s">
        <v>293</v>
      </c>
      <c r="D19" s="3">
        <f>COUNTA(UT15_FixedDiscount_BVA!$A$12:$A$25)</f>
        <v>13</v>
      </c>
      <c r="E19" s="3">
        <f>COUNTIF(UT15_FixedDiscount_BVA!$F$12:$F$25,"Pass")</f>
        <v>13</v>
      </c>
      <c r="F19" s="3">
        <f>COUNTIF(UT15_FixedDiscount_BVA!$F$12:$F$25,"Fail")</f>
        <v>0</v>
      </c>
      <c r="G19" s="3">
        <f>COUNTIF(UT15_FixedDiscount_BVA!$F$12:$F$25,"No run")</f>
        <v>0</v>
      </c>
      <c r="H19" s="3">
        <f>COUNTIF(UT15_FixedDiscount_BVA!$F$12:$F$25,"Block")</f>
        <v>0</v>
      </c>
      <c r="I19" s="4"/>
    </row>
    <row r="20" spans="1:9" ht="21" x14ac:dyDescent="0.3">
      <c r="A20" s="3">
        <v>16</v>
      </c>
      <c r="B20" s="4" t="s">
        <v>841</v>
      </c>
      <c r="C20" s="4" t="s">
        <v>12</v>
      </c>
      <c r="D20" s="3">
        <f>COUNTA(UT16_PercentDiscount_EC!$A$20:$A$28)</f>
        <v>8</v>
      </c>
      <c r="E20" s="3">
        <f>COUNTIF(UT16_PercentDiscount_EC!$F$20:$F$28,"Pass")</f>
        <v>8</v>
      </c>
      <c r="F20" s="3">
        <f>COUNTIF(UT16_PercentDiscount_EC!$F$20:$F$28,"Fail")</f>
        <v>0</v>
      </c>
      <c r="G20" s="3">
        <f>COUNTIF(UT16_PercentDiscount_EC!$F$20:$F$28,"No run")</f>
        <v>0</v>
      </c>
      <c r="H20" s="3">
        <f>COUNTIF(UT16_PercentDiscount_EC!$F$20:$F$28,"Block")</f>
        <v>0</v>
      </c>
      <c r="I20" s="4"/>
    </row>
    <row r="21" spans="1:9" ht="21" x14ac:dyDescent="0.3">
      <c r="A21" s="3">
        <v>17</v>
      </c>
      <c r="B21" s="4" t="s">
        <v>842</v>
      </c>
      <c r="C21" s="4" t="s">
        <v>12</v>
      </c>
      <c r="D21" s="3">
        <f>COUNTA(UT17_DiscountFactory_EC!$A$20:$A$27)</f>
        <v>7</v>
      </c>
      <c r="E21" s="3">
        <f>COUNTIF(UT17_DiscountFactory_EC!$F$20:$F$27,"Pass")</f>
        <v>7</v>
      </c>
      <c r="F21" s="3">
        <f>COUNTIF(UT17_DiscountFactory_EC!$F$20:$F$27,"Fail")</f>
        <v>0</v>
      </c>
      <c r="G21" s="3">
        <f>COUNTIF(UT17_DiscountFactory_EC!$F$20:$F$27,"No run")</f>
        <v>0</v>
      </c>
      <c r="H21" s="3">
        <f>COUNTIF(UT17_DiscountFactory_EC!$F$20:$F$27,"Block")</f>
        <v>0</v>
      </c>
      <c r="I21" s="4"/>
    </row>
    <row r="22" spans="1:9" ht="42" x14ac:dyDescent="0.3">
      <c r="A22" s="3">
        <v>18</v>
      </c>
      <c r="B22" s="4" t="s">
        <v>843</v>
      </c>
      <c r="C22" s="4" t="s">
        <v>844</v>
      </c>
      <c r="D22" s="3">
        <f>COUNTA(UT18_PaymentStrategy_EC!$A$21:$A$30)</f>
        <v>9</v>
      </c>
      <c r="E22" s="3">
        <f>COUNTIF(UT18_PaymentStrategy_EC!$F$21:$F$30,"Pass")</f>
        <v>9</v>
      </c>
      <c r="F22" s="3">
        <f>COUNTIF(UT18_PaymentStrategy_EC!$F$21:$F$30,"Fail")</f>
        <v>0</v>
      </c>
      <c r="G22" s="3">
        <f>COUNTIF(UT18_PaymentStrategy_EC!$F$21:$F$30,"No run")</f>
        <v>0</v>
      </c>
      <c r="H22" s="3">
        <f>COUNTIF(UT18_PaymentStrategy_EC!$F$21:$F$30,"Block")</f>
        <v>0</v>
      </c>
      <c r="I22" s="4"/>
    </row>
    <row r="23" spans="1:9" ht="21" x14ac:dyDescent="0.3">
      <c r="A23" s="27" t="s">
        <v>1119</v>
      </c>
      <c r="B23" s="27"/>
      <c r="C23" s="27"/>
      <c r="D23" s="27"/>
      <c r="E23" s="27"/>
      <c r="F23" s="27"/>
      <c r="G23" s="27"/>
      <c r="H23" s="27"/>
      <c r="I23" s="27"/>
    </row>
    <row r="24" spans="1:9" ht="21" x14ac:dyDescent="0.3">
      <c r="A24" s="3">
        <v>19</v>
      </c>
      <c r="B24" s="4" t="s">
        <v>1120</v>
      </c>
      <c r="C24" s="4" t="s">
        <v>293</v>
      </c>
      <c r="D24" s="3">
        <f>COUNTA(UT19_Refund_Amount_BVA!$A$12:$A$18)</f>
        <v>6</v>
      </c>
      <c r="E24" s="3">
        <f>COUNTIF(UT19_Refund_Amount_BVA!$E$12:$E$18,"Pass")</f>
        <v>6</v>
      </c>
      <c r="F24" s="3">
        <f>COUNTIF(UT19_Refund_Amount_BVA!$E$12:$E$18,"Fail")</f>
        <v>0</v>
      </c>
      <c r="G24" s="3">
        <f>COUNTIF(UT19_Refund_Amount_BVA!$E$12:$E$18,"No run")</f>
        <v>0</v>
      </c>
      <c r="H24" s="3">
        <f>COUNTIF(UT19_Refund_Amount_BVA!$E$12:$E$18,"Block")</f>
        <v>0</v>
      </c>
      <c r="I24" s="4"/>
    </row>
    <row r="25" spans="1:9" ht="21" x14ac:dyDescent="0.3">
      <c r="A25" s="3">
        <v>20</v>
      </c>
      <c r="B25" s="4" t="s">
        <v>1121</v>
      </c>
      <c r="C25" s="4" t="s">
        <v>12</v>
      </c>
      <c r="D25" s="3">
        <f>COUNTA(UT20_Refund_EC!$A$22:$A$31)</f>
        <v>9</v>
      </c>
      <c r="E25" s="3">
        <f>COUNTIF(UT20_Refund_EC!$F$22:$F$31,"Pass")</f>
        <v>9</v>
      </c>
      <c r="F25" s="3">
        <f>COUNTIF(UT20_Refund_EC!$F$22:$F$31,"Fail")</f>
        <v>0</v>
      </c>
      <c r="G25" s="3">
        <f>COUNTIF(UT20_Refund_EC!$F$22:$F$31,"No run")</f>
        <v>0</v>
      </c>
      <c r="H25" s="3">
        <f>COUNTIF(UT20_Refund_EC!$F$22:$F$31,"Block")</f>
        <v>0</v>
      </c>
      <c r="I25" s="4"/>
    </row>
    <row r="26" spans="1:9" ht="21" x14ac:dyDescent="0.3">
      <c r="A26" s="27" t="s">
        <v>1197</v>
      </c>
      <c r="B26" s="27"/>
      <c r="C26" s="27"/>
      <c r="D26" s="27"/>
      <c r="E26" s="27"/>
      <c r="F26" s="27"/>
      <c r="G26" s="27"/>
      <c r="H26" s="27"/>
      <c r="I26" s="27"/>
    </row>
    <row r="27" spans="1:9" ht="42" x14ac:dyDescent="0.3">
      <c r="A27" s="3">
        <v>21</v>
      </c>
      <c r="B27" s="4" t="s">
        <v>1198</v>
      </c>
      <c r="C27" s="4" t="s">
        <v>450</v>
      </c>
      <c r="D27" s="3">
        <f>COUNTA(UT21_CheckIn_Window_BVA!$A$12:$A$17)</f>
        <v>5</v>
      </c>
      <c r="E27" s="3">
        <f>COUNTIF(UT21_CheckIn_Window_BVA!$F$12:$F$17,"Pass")</f>
        <v>5</v>
      </c>
      <c r="F27" s="3">
        <f>COUNTIF(UT21_CheckIn_Window_BVA!$F$12:$F$17,"Fail")</f>
        <v>0</v>
      </c>
      <c r="G27" s="3">
        <f>COUNTIF(UT21_CheckIn_Window_BVA!$F$12:$F$17,"No run")</f>
        <v>0</v>
      </c>
      <c r="H27" s="3">
        <f>COUNTIF(UT21_CheckIn_Window_BVA!$F$12:$F$17,"Block")</f>
        <v>0</v>
      </c>
      <c r="I27" s="4"/>
    </row>
    <row r="28" spans="1:9" ht="42" x14ac:dyDescent="0.3">
      <c r="A28" s="3">
        <v>22</v>
      </c>
      <c r="B28" s="4" t="s">
        <v>1199</v>
      </c>
      <c r="C28" s="4" t="s">
        <v>12</v>
      </c>
      <c r="D28" s="3">
        <f>COUNTA(UT22_CheckIn_Queue_EC!$A$22:$A$31)</f>
        <v>9</v>
      </c>
      <c r="E28" s="3">
        <f>COUNTIF(UT22_CheckIn_Queue_EC!$F$22:$F$31,"Pass")</f>
        <v>9</v>
      </c>
      <c r="F28" s="3">
        <f>COUNTIF(UT22_CheckIn_Queue_EC!$F$22:$F$31,"Fail")</f>
        <v>0</v>
      </c>
      <c r="G28" s="3">
        <f>COUNTIF(UT22_CheckIn_Queue_EC!$F$22:$F$31,"No run")</f>
        <v>0</v>
      </c>
      <c r="H28" s="3">
        <f>COUNTIF(UT22_CheckIn_Queue_EC!$F$22:$F$31,"Block")</f>
        <v>0</v>
      </c>
      <c r="I28" s="4"/>
    </row>
    <row r="29" spans="1:9" ht="42" x14ac:dyDescent="0.3">
      <c r="A29" s="3">
        <v>23</v>
      </c>
      <c r="B29" s="4" t="s">
        <v>1200</v>
      </c>
      <c r="C29" s="4" t="s">
        <v>678</v>
      </c>
      <c r="D29" s="3">
        <f>COUNTA(UT23_QueueStatus_DT!$B$29:$B$54)</f>
        <v>25</v>
      </c>
      <c r="E29" s="3">
        <f>COUNTIF(UT23_QueueStatus_DT!$G$29:$G$54,"Pass")</f>
        <v>25</v>
      </c>
      <c r="F29" s="3">
        <f>COUNTIF(UT23_QueueStatus_DT!$G$29:$G$54,"Fail")</f>
        <v>0</v>
      </c>
      <c r="G29" s="3">
        <f>COUNTIF(UT23_QueueStatus_DT!$G$29:$G$54,"No run")</f>
        <v>0</v>
      </c>
      <c r="H29" s="3">
        <f>COUNTIF(UT23_QueueStatus_DT!$G$29:$G$54,"Block")</f>
        <v>0</v>
      </c>
      <c r="I29" s="4"/>
    </row>
    <row r="30" spans="1:9" ht="21" x14ac:dyDescent="0.3">
      <c r="A30" s="3">
        <v>24</v>
      </c>
      <c r="B30" s="4" t="s">
        <v>1201</v>
      </c>
      <c r="C30" s="4" t="s">
        <v>452</v>
      </c>
      <c r="D30" s="3">
        <f>COUNTA(UT24_TherapistExec_DT!$B$28:$B$35)</f>
        <v>7</v>
      </c>
      <c r="E30" s="3">
        <f>COUNTIF(UT24_TherapistExec_DT!$H$28:$H$35,"Pass")</f>
        <v>7</v>
      </c>
      <c r="F30" s="3">
        <f>COUNTIF(UT24_TherapistExec_DT!$H$28:$H$35,"Fail")</f>
        <v>0</v>
      </c>
      <c r="G30" s="3">
        <f>COUNTIF(UT24_TherapistExec_DT!$H$28:$H$35,"No run")</f>
        <v>0</v>
      </c>
      <c r="H30" s="3">
        <f>COUNTIF(UT24_TherapistExec_DT!$H$28:$H$35,"Block")</f>
        <v>0</v>
      </c>
      <c r="I30" s="4"/>
    </row>
    <row r="31" spans="1:9" ht="21" x14ac:dyDescent="0.3">
      <c r="A31" s="27" t="s">
        <v>1416</v>
      </c>
      <c r="B31" s="27"/>
      <c r="C31" s="27"/>
      <c r="D31" s="27"/>
      <c r="E31" s="27"/>
      <c r="F31" s="27"/>
      <c r="G31" s="27"/>
      <c r="H31" s="27"/>
      <c r="I31" s="27"/>
    </row>
    <row r="32" spans="1:9" ht="21" x14ac:dyDescent="0.3">
      <c r="A32" s="3">
        <v>25</v>
      </c>
      <c r="B32" s="4" t="s">
        <v>1417</v>
      </c>
      <c r="C32" s="4" t="s">
        <v>293</v>
      </c>
      <c r="D32" s="3">
        <f>COUNTA(UT25_Review_Rating_BVA!$A$12:$A$30)</f>
        <v>18</v>
      </c>
      <c r="E32" s="3">
        <f>COUNTIF(UT25_Review_Rating_BVA!$G$12:$G$30,"Pass")</f>
        <v>18</v>
      </c>
      <c r="F32" s="3">
        <f>COUNTIF(UT25_Review_Rating_BVA!$G$12:$G$30,"Fail")</f>
        <v>0</v>
      </c>
      <c r="G32" s="3">
        <f>COUNTIF(UT25_Review_Rating_BVA!$G$12:$G$30,"No run")</f>
        <v>0</v>
      </c>
      <c r="H32" s="3">
        <f>COUNTIF(UT25_Review_Rating_BVA!$G$12:$G$30,"Block")</f>
        <v>0</v>
      </c>
      <c r="I32" s="4"/>
    </row>
    <row r="33" spans="1:9" ht="21" x14ac:dyDescent="0.3">
      <c r="A33" s="3">
        <v>26</v>
      </c>
      <c r="B33" s="4" t="s">
        <v>1418</v>
      </c>
      <c r="C33" s="4" t="s">
        <v>12</v>
      </c>
      <c r="D33" s="3">
        <f>COUNTA(UT26_Review_EC!$A$21:$A$30)</f>
        <v>8</v>
      </c>
      <c r="E33" s="3">
        <f>COUNTIF(UT26_Review_EC!$F$21:$F$30,"Pass")</f>
        <v>8</v>
      </c>
      <c r="F33" s="3">
        <f>COUNTIF(UT26_Review_EC!$F$21:$F$30,"Fail")</f>
        <v>0</v>
      </c>
      <c r="G33" s="3">
        <f>COUNTIF(UT26_Review_EC!$F$21:$F$30,"No run")</f>
        <v>0</v>
      </c>
      <c r="H33" s="3">
        <f>COUNTIF(UT26_Review_EC!$F$21:$F$30,"Block")</f>
        <v>0</v>
      </c>
      <c r="I33" s="4"/>
    </row>
    <row r="34" spans="1:9" ht="21" x14ac:dyDescent="0.3">
      <c r="A34" s="27" t="s">
        <v>1497</v>
      </c>
      <c r="B34" s="27"/>
      <c r="C34" s="27"/>
      <c r="D34" s="27"/>
      <c r="E34" s="27"/>
      <c r="F34" s="27"/>
      <c r="G34" s="27"/>
      <c r="H34" s="27"/>
      <c r="I34" s="27"/>
    </row>
    <row r="35" spans="1:9" ht="21" x14ac:dyDescent="0.3">
      <c r="A35" s="3">
        <v>27</v>
      </c>
      <c r="B35" s="4" t="s">
        <v>1498</v>
      </c>
      <c r="C35" s="4" t="s">
        <v>220</v>
      </c>
      <c r="D35" s="3">
        <f>COUNTA(UT27_Login_DT!$B$22:$B$28)</f>
        <v>6</v>
      </c>
      <c r="E35" s="3">
        <f>COUNTIF(UT27_Login_DT!$H$22:$H$28,"Pass")</f>
        <v>6</v>
      </c>
      <c r="F35" s="3">
        <f>COUNTIF(UT27_Login_DT!$H$22:$H$28,"Fail")</f>
        <v>0</v>
      </c>
      <c r="G35" s="3">
        <f>COUNTIF(UT27_Login_DT!$H$22:$H$28,"No run")</f>
        <v>0</v>
      </c>
      <c r="H35" s="3">
        <f>COUNTIF(UT27_Login_DT!$H$22:$H$28,"Block")</f>
        <v>0</v>
      </c>
      <c r="I35" s="4"/>
    </row>
    <row r="36" spans="1:9" ht="21" x14ac:dyDescent="0.3">
      <c r="A36" s="3">
        <v>28</v>
      </c>
      <c r="B36" s="4" t="s">
        <v>1499</v>
      </c>
      <c r="C36" s="4" t="s">
        <v>12</v>
      </c>
      <c r="D36" s="3">
        <f>COUNTA(UT28_Register_EC!$A$19:$A$23)</f>
        <v>4</v>
      </c>
      <c r="E36" s="3">
        <f>COUNTIF(UT28_Register_EC!$G$19:$G$23,"Pass")</f>
        <v>4</v>
      </c>
      <c r="F36" s="3">
        <f>COUNTIF(UT28_Register_EC!$G$19:$G$23,"Fail")</f>
        <v>0</v>
      </c>
      <c r="G36" s="3">
        <f>COUNTIF(UT28_Register_EC!$G$19:$G$23,"No run")</f>
        <v>0</v>
      </c>
      <c r="H36" s="3">
        <f>COUNTIF(UT28_Register_EC!$G$19:$G$23,"Block")</f>
        <v>0</v>
      </c>
      <c r="I36" s="4"/>
    </row>
    <row r="37" spans="1:9" ht="21" x14ac:dyDescent="0.3">
      <c r="A37" s="3">
        <v>29</v>
      </c>
      <c r="B37" s="4" t="s">
        <v>1500</v>
      </c>
      <c r="C37" s="4" t="s">
        <v>220</v>
      </c>
      <c r="D37" s="3">
        <f>COUNTA(UT29_UpdateProfile_DT!$B$28:$B$35)</f>
        <v>7</v>
      </c>
      <c r="E37" s="3">
        <f>COUNTIF(UT29_UpdateProfile_DT!$H$28:$H$35,"Pass")</f>
        <v>7</v>
      </c>
      <c r="F37" s="3">
        <f>COUNTIF(UT29_UpdateProfile_DT!$H$28:$H$35,"Fail")</f>
        <v>0</v>
      </c>
      <c r="G37" s="3">
        <f>COUNTIF(UT29_UpdateProfile_DT!$H$28:$H$35,"No run")</f>
        <v>0</v>
      </c>
      <c r="H37" s="3">
        <f>COUNTIF(UT29_UpdateProfile_DT!$H$28:$H$35,"Block")</f>
        <v>0</v>
      </c>
      <c r="I37" s="4"/>
    </row>
    <row r="38" spans="1:9" ht="42" x14ac:dyDescent="0.3">
      <c r="A38" s="3">
        <v>30</v>
      </c>
      <c r="B38" s="4" t="s">
        <v>1501</v>
      </c>
      <c r="C38" s="4" t="s">
        <v>450</v>
      </c>
      <c r="D38" s="3">
        <f>COUNTA(UT30_UserSession_BVA!$A$12:$A$19)</f>
        <v>7</v>
      </c>
      <c r="E38" s="3">
        <f>COUNTIF(UT30_UserSession_BVA!$F$12:$F$19,"Pass")</f>
        <v>7</v>
      </c>
      <c r="F38" s="3">
        <f>COUNTIF(UT30_UserSession_BVA!$F$12:$F$19,"Fail")</f>
        <v>0</v>
      </c>
      <c r="G38" s="3">
        <f>COUNTIF(UT30_UserSession_BVA!$F$12:$F$19,"No run")</f>
        <v>0</v>
      </c>
      <c r="H38" s="3">
        <f>COUNTIF(UT30_UserSession_BVA!$F$12:$F$19,"Block")</f>
        <v>0</v>
      </c>
      <c r="I38" s="4"/>
    </row>
    <row r="39" spans="1:9" ht="21" x14ac:dyDescent="0.3">
      <c r="A39" s="3">
        <v>31</v>
      </c>
      <c r="B39" s="4" t="s">
        <v>1502</v>
      </c>
      <c r="C39" s="4" t="s">
        <v>12</v>
      </c>
      <c r="D39" s="3">
        <f>COUNTA(UT31_JwtToken_EC!$A$21:$A$27)</f>
        <v>6</v>
      </c>
      <c r="E39" s="3">
        <f>COUNTIF(UT31_JwtToken_EC!$F$21:$F$27,"Pass")</f>
        <v>6</v>
      </c>
      <c r="F39" s="3">
        <f>COUNTIF(UT31_JwtToken_EC!$F$21:$F$27,"Fail")</f>
        <v>0</v>
      </c>
      <c r="G39" s="3">
        <f>COUNTIF(UT31_JwtToken_EC!$F$21:$F$27,"No run")</f>
        <v>0</v>
      </c>
      <c r="H39" s="3">
        <f>COUNTIF(UT31_JwtToken_EC!$F$21:$F$27,"Block")</f>
        <v>0</v>
      </c>
      <c r="I39" s="4"/>
    </row>
    <row r="40" spans="1:9" ht="21" x14ac:dyDescent="0.3">
      <c r="A40" s="27" t="s">
        <v>1672</v>
      </c>
      <c r="B40" s="27"/>
      <c r="C40" s="27"/>
      <c r="D40" s="27"/>
      <c r="E40" s="27"/>
      <c r="F40" s="27"/>
      <c r="G40" s="27"/>
      <c r="H40" s="27"/>
      <c r="I40" s="27"/>
    </row>
    <row r="41" spans="1:9" ht="21" x14ac:dyDescent="0.3">
      <c r="A41" s="3">
        <v>32</v>
      </c>
      <c r="B41" s="4" t="s">
        <v>1673</v>
      </c>
      <c r="C41" s="4" t="s">
        <v>12</v>
      </c>
      <c r="D41" s="3">
        <f>COUNTA(UT32_RoomService_EC!$A$20:$A$26)</f>
        <v>6</v>
      </c>
      <c r="E41" s="3">
        <f>COUNTIF(UT32_RoomService_EC!$F$20:$F$26,"Pass")</f>
        <v>6</v>
      </c>
      <c r="F41" s="3">
        <f>COUNTIF(UT32_RoomService_EC!$F$20:$F$26,"Fail")</f>
        <v>0</v>
      </c>
      <c r="G41" s="3">
        <f>COUNTIF(UT32_RoomService_EC!$F$20:$F$26,"No run")</f>
        <v>0</v>
      </c>
      <c r="H41" s="3">
        <f>COUNTIF(UT32_RoomService_EC!$F$20:$F$26,"Block")</f>
        <v>0</v>
      </c>
      <c r="I41" s="4"/>
    </row>
    <row r="42" spans="1:9" ht="42" x14ac:dyDescent="0.3">
      <c r="A42" s="3">
        <v>33</v>
      </c>
      <c r="B42" s="4" t="s">
        <v>1674</v>
      </c>
      <c r="C42" s="4" t="s">
        <v>1675</v>
      </c>
      <c r="D42" s="3">
        <f>COUNTA(UT33_ServiceCatalog_EC!$A$21:$A$29)</f>
        <v>8</v>
      </c>
      <c r="E42" s="3">
        <f>COUNTIF(UT33_ServiceCatalog_EC!$G$21:$G$29,"Pass")</f>
        <v>8</v>
      </c>
      <c r="F42" s="3">
        <f>COUNTIF(UT33_ServiceCatalog_EC!$G$21:$G$29,"Fail")</f>
        <v>0</v>
      </c>
      <c r="G42" s="3">
        <f>COUNTIF(UT33_ServiceCatalog_EC!$G$21:$G$29,"No run")</f>
        <v>0</v>
      </c>
      <c r="H42" s="3">
        <f>COUNTIF(UT33_ServiceCatalog_EC!$G$21:$G$29,"Block")</f>
        <v>0</v>
      </c>
      <c r="I42" s="4"/>
    </row>
    <row r="43" spans="1:9" ht="21" x14ac:dyDescent="0.3">
      <c r="A43" s="3">
        <v>34</v>
      </c>
      <c r="B43" s="4" t="s">
        <v>1676</v>
      </c>
      <c r="C43" s="4" t="s">
        <v>450</v>
      </c>
      <c r="D43" s="3">
        <f>COUNTA(UT34_Schedule_Shift_BVA!$A$12:$A$21)</f>
        <v>9</v>
      </c>
      <c r="E43" s="3">
        <f>COUNTIF(UT34_Schedule_Shift_BVA!$F$12:$F$21,"Pass")</f>
        <v>9</v>
      </c>
      <c r="F43" s="3">
        <f>COUNTIF(UT34_Schedule_Shift_BVA!$F$12:$F$21,"Fail")</f>
        <v>0</v>
      </c>
      <c r="G43" s="3">
        <f>COUNTIF(UT34_Schedule_Shift_BVA!$F$12:$F$21,"No run")</f>
        <v>0</v>
      </c>
      <c r="H43" s="3">
        <f>COUNTIF(UT34_Schedule_Shift_BVA!$F$12:$F$21,"Block")</f>
        <v>0</v>
      </c>
      <c r="I43" s="4"/>
    </row>
    <row r="44" spans="1:9" ht="21" x14ac:dyDescent="0.3">
      <c r="A44" s="3">
        <v>35</v>
      </c>
      <c r="B44" s="4" t="s">
        <v>1677</v>
      </c>
      <c r="C44" s="4" t="s">
        <v>450</v>
      </c>
      <c r="D44" s="3">
        <f>COUNTA(UT35_ShopHours_BVA!$A$12:$A$19)</f>
        <v>7</v>
      </c>
      <c r="E44" s="3">
        <f>COUNTIF(UT35_ShopHours_BVA!$F$12:$F$19,"Pass")</f>
        <v>7</v>
      </c>
      <c r="F44" s="3">
        <f>COUNTIF(UT35_ShopHours_BVA!$F$12:$F$19,"Fail")</f>
        <v>0</v>
      </c>
      <c r="G44" s="3">
        <f>COUNTIF(UT35_ShopHours_BVA!$F$12:$F$19,"No run")</f>
        <v>0</v>
      </c>
      <c r="H44" s="3">
        <f>COUNTIF(UT35_ShopHours_BVA!$F$12:$F$19,"Block")</f>
        <v>0</v>
      </c>
      <c r="I44" s="4"/>
    </row>
    <row r="45" spans="1:9" ht="21" x14ac:dyDescent="0.3">
      <c r="A45" s="27" t="s">
        <v>1864</v>
      </c>
      <c r="B45" s="27"/>
      <c r="C45" s="27"/>
      <c r="D45" s="27"/>
      <c r="E45" s="27"/>
      <c r="F45" s="27"/>
      <c r="G45" s="27"/>
      <c r="H45" s="27"/>
      <c r="I45" s="27"/>
    </row>
    <row r="46" spans="1:9" ht="21" x14ac:dyDescent="0.3">
      <c r="A46" s="3">
        <v>36</v>
      </c>
      <c r="B46" s="4" t="s">
        <v>1865</v>
      </c>
      <c r="C46" s="4" t="s">
        <v>450</v>
      </c>
      <c r="D46" s="3">
        <f>COUNTA(UT36_RevenueReport_BVA!$A$12:$A$21)</f>
        <v>9</v>
      </c>
      <c r="E46" s="3">
        <f>COUNTIF(UT36_RevenueReport_BVA!$G$12:$G$21,"Pass")</f>
        <v>9</v>
      </c>
      <c r="F46" s="3">
        <f>COUNTIF(UT36_RevenueReport_BVA!$G$12:$G$21,"Fail")</f>
        <v>0</v>
      </c>
      <c r="G46" s="3">
        <f>COUNTIF(UT36_RevenueReport_BVA!$G$12:$G$21,"No run")</f>
        <v>0</v>
      </c>
      <c r="H46" s="3">
        <f>COUNTIF(UT36_RevenueReport_BVA!$G$12:$G$21,"Block")</f>
        <v>0</v>
      </c>
      <c r="I46" s="4"/>
    </row>
    <row r="47" spans="1:9" ht="21" x14ac:dyDescent="0.3">
      <c r="A47" s="25" t="s">
        <v>13</v>
      </c>
      <c r="B47" s="25"/>
      <c r="C47" s="25"/>
      <c r="D47" s="5" cm="1">
        <f t="array" ref="D47">SUMPRODUCT(ISNUMBER(D4:D46)*D4:D46)</f>
        <v>359</v>
      </c>
      <c r="E47" s="6" cm="1">
        <f t="array" ref="E47">SUMPRODUCT(ISNUMBER(E4:E46)*E4:E46)</f>
        <v>356</v>
      </c>
      <c r="F47" s="7" cm="1">
        <f t="array" ref="F47">SUMPRODUCT(ISNUMBER(F4:F46)*F4:F46)</f>
        <v>3</v>
      </c>
      <c r="G47" s="5" cm="1">
        <f t="array" ref="G47">SUMPRODUCT(ISNUMBER(G4:G46)*G4:G46)</f>
        <v>0</v>
      </c>
      <c r="H47" s="5" cm="1">
        <f t="array" ref="H47">SUMPRODUCT(ISNUMBER(H4:H46)*H4:H46)</f>
        <v>0</v>
      </c>
      <c r="I47" s="4"/>
    </row>
  </sheetData>
  <mergeCells count="10">
    <mergeCell ref="A47:C47"/>
    <mergeCell ref="A1:F1"/>
    <mergeCell ref="A3:I3"/>
    <mergeCell ref="A16:I16"/>
    <mergeCell ref="A23:I23"/>
    <mergeCell ref="A26:I26"/>
    <mergeCell ref="A31:I31"/>
    <mergeCell ref="A34:I34"/>
    <mergeCell ref="A40:I40"/>
    <mergeCell ref="A45:I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330E-079C-4579-8133-7533964AD0F3}">
  <dimension ref="A1:K12"/>
  <sheetViews>
    <sheetView topLeftCell="A7" workbookViewId="0">
      <selection activeCell="J8" sqref="J8"/>
    </sheetView>
  </sheetViews>
  <sheetFormatPr defaultColWidth="7.625" defaultRowHeight="23.25" x14ac:dyDescent="0.35"/>
  <cols>
    <col min="1" max="1" width="5.25" style="8" customWidth="1"/>
    <col min="2" max="2" width="9.625" style="8" customWidth="1"/>
    <col min="3" max="3" width="31.5" style="8" customWidth="1"/>
    <col min="4" max="4" width="10.5" style="8" customWidth="1"/>
    <col min="5" max="6" width="12.25" style="8" customWidth="1"/>
    <col min="7" max="9" width="9.625" style="8" customWidth="1"/>
    <col min="10" max="10" width="13.5" style="8" customWidth="1"/>
    <col min="11" max="11" width="63" style="8" customWidth="1"/>
    <col min="12" max="16384" width="7.625" style="8"/>
  </cols>
  <sheetData>
    <row r="1" spans="1:11" ht="46.5" x14ac:dyDescent="0.35">
      <c r="A1" s="22" t="s">
        <v>1</v>
      </c>
      <c r="B1" s="22" t="s">
        <v>204</v>
      </c>
      <c r="C1" s="22" t="s">
        <v>205</v>
      </c>
      <c r="D1" s="22" t="s">
        <v>206</v>
      </c>
      <c r="E1" s="22" t="s">
        <v>207</v>
      </c>
      <c r="F1" s="22" t="s">
        <v>208</v>
      </c>
      <c r="G1" s="22" t="s">
        <v>209</v>
      </c>
      <c r="H1" s="22" t="s">
        <v>210</v>
      </c>
      <c r="I1" s="22" t="s">
        <v>211</v>
      </c>
      <c r="J1" s="22" t="s">
        <v>212</v>
      </c>
      <c r="K1" s="22" t="s">
        <v>213</v>
      </c>
    </row>
    <row r="2" spans="1:11" ht="69.75" x14ac:dyDescent="0.35">
      <c r="A2" s="17">
        <v>1</v>
      </c>
      <c r="B2" s="17" t="s">
        <v>214</v>
      </c>
      <c r="C2" s="13" t="s">
        <v>217</v>
      </c>
      <c r="D2" s="17" t="s">
        <v>67</v>
      </c>
      <c r="E2" s="41">
        <v>46305</v>
      </c>
      <c r="F2" s="14" t="s">
        <v>156</v>
      </c>
      <c r="G2" s="17" t="s">
        <v>215</v>
      </c>
      <c r="H2" s="17" t="s">
        <v>216</v>
      </c>
      <c r="I2" s="17" t="s">
        <v>216</v>
      </c>
      <c r="J2" s="13" t="s">
        <v>156</v>
      </c>
      <c r="K2" s="13" t="s">
        <v>218</v>
      </c>
    </row>
    <row r="3" spans="1:11" ht="85.5" customHeight="1" x14ac:dyDescent="0.35">
      <c r="A3" s="17">
        <v>2</v>
      </c>
      <c r="B3" s="17" t="s">
        <v>294</v>
      </c>
      <c r="C3" s="13" t="s">
        <v>295</v>
      </c>
      <c r="D3" s="17" t="s">
        <v>67</v>
      </c>
      <c r="E3" s="41">
        <v>46305</v>
      </c>
      <c r="F3" s="14" t="s">
        <v>156</v>
      </c>
      <c r="G3" s="17" t="s">
        <v>215</v>
      </c>
      <c r="H3" s="17" t="s">
        <v>216</v>
      </c>
      <c r="I3" s="17" t="s">
        <v>216</v>
      </c>
      <c r="J3" s="13" t="s">
        <v>156</v>
      </c>
      <c r="K3" s="13" t="s">
        <v>296</v>
      </c>
    </row>
    <row r="4" spans="1:11" ht="46.5" x14ac:dyDescent="0.35">
      <c r="A4" s="17">
        <v>3</v>
      </c>
      <c r="B4" s="17" t="s">
        <v>445</v>
      </c>
      <c r="C4" s="13" t="s">
        <v>439</v>
      </c>
      <c r="D4" s="17" t="s">
        <v>67</v>
      </c>
      <c r="E4" s="41">
        <v>46305</v>
      </c>
      <c r="F4" s="14" t="s">
        <v>156</v>
      </c>
      <c r="G4" s="17" t="s">
        <v>215</v>
      </c>
      <c r="H4" s="17" t="s">
        <v>440</v>
      </c>
      <c r="I4" s="17" t="s">
        <v>440</v>
      </c>
      <c r="J4" s="13" t="s">
        <v>156</v>
      </c>
      <c r="K4" s="13" t="s">
        <v>441</v>
      </c>
    </row>
    <row r="5" spans="1:11" ht="69.75" x14ac:dyDescent="0.35">
      <c r="A5" s="17">
        <v>4</v>
      </c>
      <c r="B5" s="17" t="s">
        <v>446</v>
      </c>
      <c r="C5" s="13" t="s">
        <v>442</v>
      </c>
      <c r="D5" s="17" t="s">
        <v>67</v>
      </c>
      <c r="E5" s="41">
        <v>46305</v>
      </c>
      <c r="F5" s="14" t="s">
        <v>156</v>
      </c>
      <c r="G5" s="17" t="s">
        <v>215</v>
      </c>
      <c r="H5" s="17" t="s">
        <v>443</v>
      </c>
      <c r="I5" s="17" t="s">
        <v>440</v>
      </c>
      <c r="J5" s="13" t="s">
        <v>156</v>
      </c>
      <c r="K5" s="13" t="s">
        <v>444</v>
      </c>
    </row>
    <row r="6" spans="1:11" ht="64.5" customHeight="1" x14ac:dyDescent="0.35">
      <c r="A6" s="17">
        <v>5</v>
      </c>
      <c r="B6" s="17" t="s">
        <v>673</v>
      </c>
      <c r="C6" s="13" t="s">
        <v>672</v>
      </c>
      <c r="D6" s="17" t="s">
        <v>67</v>
      </c>
      <c r="E6" s="41">
        <v>46305</v>
      </c>
      <c r="F6" s="14" t="s">
        <v>156</v>
      </c>
      <c r="G6" s="17" t="s">
        <v>215</v>
      </c>
      <c r="H6" s="17" t="s">
        <v>440</v>
      </c>
      <c r="I6" s="17" t="s">
        <v>440</v>
      </c>
      <c r="J6" s="13" t="s">
        <v>156</v>
      </c>
      <c r="K6" s="13" t="s">
        <v>674</v>
      </c>
    </row>
    <row r="7" spans="1:11" ht="85.5" customHeight="1" x14ac:dyDescent="0.35">
      <c r="A7" s="17">
        <v>6</v>
      </c>
      <c r="B7" s="17" t="s">
        <v>742</v>
      </c>
      <c r="C7" s="13" t="s">
        <v>1413</v>
      </c>
      <c r="D7" s="17" t="s">
        <v>67</v>
      </c>
      <c r="E7" s="41">
        <v>46305</v>
      </c>
      <c r="F7" s="14" t="s">
        <v>156</v>
      </c>
      <c r="G7" s="17" t="s">
        <v>215</v>
      </c>
      <c r="H7" s="17" t="s">
        <v>443</v>
      </c>
      <c r="I7" s="17" t="s">
        <v>443</v>
      </c>
      <c r="J7" s="13" t="s">
        <v>156</v>
      </c>
      <c r="K7" s="13" t="s">
        <v>1414</v>
      </c>
    </row>
    <row r="8" spans="1:11" ht="85.5" customHeight="1" x14ac:dyDescent="0.35">
      <c r="A8" s="17">
        <v>7</v>
      </c>
      <c r="B8" s="17" t="s">
        <v>1115</v>
      </c>
      <c r="C8" s="13" t="s">
        <v>836</v>
      </c>
      <c r="D8" s="17" t="s">
        <v>67</v>
      </c>
      <c r="E8" s="41">
        <v>46305</v>
      </c>
      <c r="F8" s="14" t="s">
        <v>156</v>
      </c>
      <c r="G8" s="17" t="s">
        <v>215</v>
      </c>
      <c r="H8" s="17" t="s">
        <v>443</v>
      </c>
      <c r="I8" s="17" t="s">
        <v>443</v>
      </c>
      <c r="J8" s="13" t="s">
        <v>156</v>
      </c>
      <c r="K8" s="13" t="s">
        <v>837</v>
      </c>
    </row>
    <row r="9" spans="1:11" ht="69.75" x14ac:dyDescent="0.35">
      <c r="A9" s="17">
        <v>8</v>
      </c>
      <c r="B9" s="17" t="s">
        <v>1116</v>
      </c>
      <c r="C9" s="13" t="s">
        <v>1111</v>
      </c>
      <c r="D9" s="17" t="s">
        <v>67</v>
      </c>
      <c r="E9" s="13"/>
      <c r="F9" s="14" t="s">
        <v>156</v>
      </c>
      <c r="G9" s="17" t="s">
        <v>215</v>
      </c>
      <c r="H9" s="17" t="s">
        <v>216</v>
      </c>
      <c r="I9" s="17" t="s">
        <v>216</v>
      </c>
      <c r="J9" s="13"/>
      <c r="K9" s="13" t="s">
        <v>1117</v>
      </c>
    </row>
    <row r="10" spans="1:11" ht="69.75" x14ac:dyDescent="0.35">
      <c r="A10" s="17">
        <v>9</v>
      </c>
      <c r="B10" s="17" t="s">
        <v>671</v>
      </c>
      <c r="C10" s="13" t="s">
        <v>1112</v>
      </c>
      <c r="D10" s="17" t="s">
        <v>67</v>
      </c>
      <c r="E10" s="13"/>
      <c r="F10" s="14" t="s">
        <v>156</v>
      </c>
      <c r="G10" s="17" t="s">
        <v>215</v>
      </c>
      <c r="H10" s="17" t="s">
        <v>440</v>
      </c>
      <c r="I10" s="17" t="s">
        <v>440</v>
      </c>
      <c r="J10" s="13"/>
      <c r="K10" s="13" t="s">
        <v>1113</v>
      </c>
    </row>
    <row r="11" spans="1:11" ht="46.5" x14ac:dyDescent="0.35">
      <c r="A11" s="17">
        <v>10</v>
      </c>
      <c r="B11" s="17" t="s">
        <v>1415</v>
      </c>
      <c r="C11" s="13" t="s">
        <v>1114</v>
      </c>
      <c r="D11" s="17" t="s">
        <v>67</v>
      </c>
      <c r="E11" s="13"/>
      <c r="F11" s="14" t="s">
        <v>156</v>
      </c>
      <c r="G11" s="17" t="s">
        <v>215</v>
      </c>
      <c r="H11" s="17" t="s">
        <v>440</v>
      </c>
      <c r="I11" s="17" t="s">
        <v>440</v>
      </c>
      <c r="J11" s="13"/>
      <c r="K11" s="13" t="s">
        <v>1118</v>
      </c>
    </row>
    <row r="12" spans="1:11" ht="64.5" customHeight="1" x14ac:dyDescent="0.35">
      <c r="A12" s="17">
        <v>11</v>
      </c>
      <c r="B12" s="17" t="s">
        <v>1419</v>
      </c>
      <c r="C12" s="13" t="s">
        <v>1420</v>
      </c>
      <c r="D12" s="17" t="s">
        <v>67</v>
      </c>
      <c r="E12" s="13"/>
      <c r="F12" s="14" t="s">
        <v>156</v>
      </c>
      <c r="G12" s="17" t="s">
        <v>215</v>
      </c>
      <c r="H12" s="17" t="s">
        <v>440</v>
      </c>
      <c r="I12" s="17" t="s">
        <v>440</v>
      </c>
      <c r="J12" s="13"/>
      <c r="K12" s="13" t="s">
        <v>1421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87DA-3E1A-4257-93C8-4A8D94CB0F8A}">
  <dimension ref="A1:J42"/>
  <sheetViews>
    <sheetView topLeftCell="A37" workbookViewId="0">
      <selection activeCell="J21" sqref="J21"/>
    </sheetView>
  </sheetViews>
  <sheetFormatPr defaultColWidth="7.625" defaultRowHeight="23.25" x14ac:dyDescent="0.35"/>
  <cols>
    <col min="1" max="1" width="19.25" style="8" customWidth="1"/>
    <col min="2" max="7" width="13.125" style="8" customWidth="1"/>
    <col min="8" max="8" width="40.25" style="8" customWidth="1"/>
    <col min="9" max="9" width="34.75" style="8" customWidth="1"/>
    <col min="10" max="10" width="14.875" style="8" customWidth="1"/>
    <col min="11" max="16384" width="7.625" style="8"/>
  </cols>
  <sheetData>
    <row r="1" spans="1:10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  <c r="J1" s="32"/>
    </row>
    <row r="2" spans="1:10" ht="24" thickBot="1" x14ac:dyDescent="0.4">
      <c r="A2" s="9" t="s">
        <v>15</v>
      </c>
      <c r="F2" s="33" t="s">
        <v>16</v>
      </c>
      <c r="G2" s="33"/>
    </row>
    <row r="3" spans="1:10" ht="24" thickBot="1" x14ac:dyDescent="0.4">
      <c r="A3" s="10" t="s">
        <v>17</v>
      </c>
      <c r="B3" s="34" t="s">
        <v>18</v>
      </c>
      <c r="C3" s="34"/>
      <c r="D3" s="34"/>
      <c r="F3" s="10" t="s">
        <v>17</v>
      </c>
      <c r="G3" s="34" t="s">
        <v>18</v>
      </c>
      <c r="H3" s="34"/>
      <c r="I3" s="34"/>
      <c r="J3" s="34"/>
    </row>
    <row r="4" spans="1:10" ht="24" thickBot="1" x14ac:dyDescent="0.4">
      <c r="A4" s="11" t="s">
        <v>19</v>
      </c>
      <c r="B4" s="31" t="s">
        <v>20</v>
      </c>
      <c r="C4" s="31"/>
      <c r="D4" s="31"/>
      <c r="F4" s="11" t="s">
        <v>21</v>
      </c>
      <c r="G4" s="31" t="s">
        <v>22</v>
      </c>
      <c r="H4" s="31"/>
      <c r="I4" s="31"/>
      <c r="J4" s="31"/>
    </row>
    <row r="5" spans="1:10" ht="24" thickBot="1" x14ac:dyDescent="0.4">
      <c r="A5" s="11" t="s">
        <v>23</v>
      </c>
      <c r="B5" s="31" t="s">
        <v>24</v>
      </c>
      <c r="C5" s="31"/>
      <c r="D5" s="31"/>
      <c r="F5" s="11" t="s">
        <v>25</v>
      </c>
      <c r="G5" s="31" t="s">
        <v>26</v>
      </c>
      <c r="H5" s="31"/>
      <c r="I5" s="31"/>
      <c r="J5" s="31"/>
    </row>
    <row r="6" spans="1:10" ht="24" thickBot="1" x14ac:dyDescent="0.4">
      <c r="A6" s="11" t="s">
        <v>27</v>
      </c>
      <c r="B6" s="31" t="s">
        <v>28</v>
      </c>
      <c r="C6" s="31"/>
      <c r="D6" s="31"/>
      <c r="F6" s="11" t="s">
        <v>29</v>
      </c>
      <c r="G6" s="31" t="s">
        <v>30</v>
      </c>
      <c r="H6" s="31"/>
      <c r="I6" s="31"/>
      <c r="J6" s="31"/>
    </row>
    <row r="7" spans="1:10" ht="24" thickBot="1" x14ac:dyDescent="0.4">
      <c r="A7" s="11" t="s">
        <v>31</v>
      </c>
      <c r="B7" s="31" t="s">
        <v>32</v>
      </c>
      <c r="C7" s="31"/>
      <c r="D7" s="31"/>
      <c r="F7" s="11" t="s">
        <v>33</v>
      </c>
      <c r="G7" s="31" t="s">
        <v>34</v>
      </c>
      <c r="H7" s="31"/>
      <c r="I7" s="31"/>
      <c r="J7" s="31"/>
    </row>
    <row r="8" spans="1:10" ht="24" thickBot="1" x14ac:dyDescent="0.4">
      <c r="A8" s="11" t="s">
        <v>35</v>
      </c>
      <c r="B8" s="31" t="s">
        <v>36</v>
      </c>
      <c r="C8" s="31"/>
      <c r="D8" s="31"/>
      <c r="F8" s="11" t="s">
        <v>37</v>
      </c>
      <c r="G8" s="31" t="s">
        <v>38</v>
      </c>
      <c r="H8" s="31"/>
      <c r="I8" s="31"/>
      <c r="J8" s="31"/>
    </row>
    <row r="9" spans="1:10" ht="24" thickBot="1" x14ac:dyDescent="0.4">
      <c r="A9" s="11" t="s">
        <v>39</v>
      </c>
      <c r="B9" s="31" t="s">
        <v>40</v>
      </c>
      <c r="C9" s="31"/>
      <c r="D9" s="31"/>
      <c r="F9" s="11" t="s">
        <v>41</v>
      </c>
      <c r="G9" s="31" t="s">
        <v>42</v>
      </c>
      <c r="H9" s="31"/>
      <c r="I9" s="31"/>
      <c r="J9" s="31"/>
    </row>
    <row r="10" spans="1:10" ht="24" thickBot="1" x14ac:dyDescent="0.4">
      <c r="F10" s="11" t="s">
        <v>43</v>
      </c>
      <c r="G10" s="31" t="s">
        <v>44</v>
      </c>
      <c r="H10" s="31"/>
      <c r="I10" s="31"/>
      <c r="J10" s="31"/>
    </row>
    <row r="11" spans="1:10" ht="24" thickBot="1" x14ac:dyDescent="0.4">
      <c r="F11" s="11" t="s">
        <v>45</v>
      </c>
      <c r="G11" s="31" t="s">
        <v>46</v>
      </c>
      <c r="H11" s="31"/>
      <c r="I11" s="31"/>
      <c r="J11" s="31"/>
    </row>
    <row r="12" spans="1:10" ht="24" thickBot="1" x14ac:dyDescent="0.4">
      <c r="F12" s="11" t="s">
        <v>47</v>
      </c>
      <c r="G12" s="31" t="s">
        <v>48</v>
      </c>
      <c r="H12" s="31"/>
      <c r="I12" s="31"/>
      <c r="J12" s="31"/>
    </row>
    <row r="13" spans="1:10" ht="24" thickBot="1" x14ac:dyDescent="0.4">
      <c r="F13" s="11" t="s">
        <v>49</v>
      </c>
      <c r="G13" s="31" t="s">
        <v>50</v>
      </c>
      <c r="H13" s="31"/>
      <c r="I13" s="31"/>
      <c r="J13" s="31"/>
    </row>
    <row r="14" spans="1:10" ht="24" thickBot="1" x14ac:dyDescent="0.4">
      <c r="F14" s="11" t="s">
        <v>51</v>
      </c>
      <c r="G14" s="31" t="s">
        <v>52</v>
      </c>
      <c r="H14" s="31"/>
      <c r="I14" s="31"/>
      <c r="J14" s="31"/>
    </row>
    <row r="15" spans="1:10" ht="24" thickBot="1" x14ac:dyDescent="0.4">
      <c r="F15" s="11" t="s">
        <v>53</v>
      </c>
      <c r="G15" s="31" t="s">
        <v>54</v>
      </c>
      <c r="H15" s="31"/>
      <c r="I15" s="31"/>
      <c r="J15" s="31"/>
    </row>
    <row r="16" spans="1:10" ht="24" thickBot="1" x14ac:dyDescent="0.4">
      <c r="F16" s="11" t="s">
        <v>55</v>
      </c>
      <c r="G16" s="31" t="s">
        <v>56</v>
      </c>
      <c r="H16" s="31"/>
      <c r="I16" s="31"/>
      <c r="J16" s="31"/>
    </row>
    <row r="18" spans="1:10" x14ac:dyDescent="0.35">
      <c r="A18" s="30" t="s">
        <v>57</v>
      </c>
      <c r="B18" s="30"/>
      <c r="C18" s="30"/>
      <c r="D18" s="30"/>
      <c r="E18" s="30"/>
      <c r="F18" s="30"/>
      <c r="G18" s="30"/>
      <c r="H18" s="30"/>
      <c r="I18" s="30"/>
      <c r="J18" s="30"/>
    </row>
    <row r="20" spans="1:10" x14ac:dyDescent="0.35">
      <c r="A20" s="12" t="s">
        <v>58</v>
      </c>
      <c r="B20" s="28" t="s">
        <v>59</v>
      </c>
      <c r="C20" s="28"/>
      <c r="D20" s="28"/>
      <c r="E20" s="28"/>
      <c r="F20" s="28"/>
      <c r="G20" s="28"/>
      <c r="H20" s="28"/>
      <c r="I20" s="12" t="s">
        <v>60</v>
      </c>
      <c r="J20" s="14" t="s">
        <v>154</v>
      </c>
    </row>
    <row r="21" spans="1:10" x14ac:dyDescent="0.35">
      <c r="A21" s="12" t="s">
        <v>61</v>
      </c>
      <c r="B21" s="28" t="s">
        <v>62</v>
      </c>
      <c r="C21" s="28"/>
      <c r="D21" s="28"/>
      <c r="E21" s="28"/>
      <c r="F21" s="28"/>
      <c r="G21" s="28"/>
      <c r="H21" s="28"/>
      <c r="I21" s="12" t="s">
        <v>63</v>
      </c>
      <c r="J21" s="14" t="s">
        <v>156</v>
      </c>
    </row>
    <row r="22" spans="1:10" ht="46.5" x14ac:dyDescent="0.35">
      <c r="A22" s="12" t="s">
        <v>64</v>
      </c>
      <c r="B22" s="28" t="s">
        <v>65</v>
      </c>
      <c r="C22" s="28"/>
      <c r="D22" s="28"/>
      <c r="E22" s="28"/>
      <c r="F22" s="28"/>
      <c r="G22" s="28"/>
      <c r="H22" s="28"/>
      <c r="I22" s="12" t="s">
        <v>66</v>
      </c>
      <c r="J22" s="13" t="s">
        <v>67</v>
      </c>
    </row>
    <row r="23" spans="1:10" ht="46.5" x14ac:dyDescent="0.35">
      <c r="A23" s="12" t="s">
        <v>68</v>
      </c>
      <c r="B23" s="28" t="s">
        <v>69</v>
      </c>
      <c r="C23" s="28"/>
      <c r="D23" s="28"/>
      <c r="E23" s="28"/>
      <c r="F23" s="28"/>
      <c r="G23" s="28"/>
      <c r="H23" s="28"/>
      <c r="I23" s="28"/>
      <c r="J23" s="28"/>
    </row>
    <row r="24" spans="1:10" ht="46.5" x14ac:dyDescent="0.35">
      <c r="A24" s="12" t="s">
        <v>70</v>
      </c>
      <c r="B24" s="28" t="s">
        <v>71</v>
      </c>
      <c r="C24" s="28"/>
      <c r="D24" s="28"/>
      <c r="E24" s="28"/>
      <c r="F24" s="28"/>
      <c r="G24" s="28"/>
      <c r="H24" s="28"/>
      <c r="I24" s="28"/>
      <c r="J24" s="28"/>
    </row>
    <row r="26" spans="1:10" x14ac:dyDescent="0.35">
      <c r="A26" s="29" t="s">
        <v>72</v>
      </c>
      <c r="B26" s="29" t="s">
        <v>73</v>
      </c>
      <c r="C26" s="29"/>
      <c r="D26" s="29"/>
      <c r="E26" s="29"/>
      <c r="F26" s="29"/>
      <c r="G26" s="29"/>
      <c r="H26" s="29" t="s">
        <v>74</v>
      </c>
      <c r="I26" s="29" t="s">
        <v>75</v>
      </c>
      <c r="J26" s="29" t="s">
        <v>76</v>
      </c>
    </row>
    <row r="27" spans="1:10" ht="46.5" x14ac:dyDescent="0.35">
      <c r="A27" s="29"/>
      <c r="B27" s="15" t="s">
        <v>77</v>
      </c>
      <c r="C27" s="15" t="s">
        <v>78</v>
      </c>
      <c r="D27" s="15" t="s">
        <v>79</v>
      </c>
      <c r="E27" s="15" t="s">
        <v>80</v>
      </c>
      <c r="F27" s="15" t="s">
        <v>81</v>
      </c>
      <c r="G27" s="15" t="s">
        <v>82</v>
      </c>
      <c r="H27" s="29"/>
      <c r="I27" s="29"/>
      <c r="J27" s="29"/>
    </row>
    <row r="28" spans="1:10" ht="162.75" x14ac:dyDescent="0.35">
      <c r="A28" s="16" t="s">
        <v>83</v>
      </c>
      <c r="B28" s="13" t="s">
        <v>84</v>
      </c>
      <c r="C28" s="13" t="s">
        <v>85</v>
      </c>
      <c r="D28" s="13" t="s">
        <v>86</v>
      </c>
      <c r="E28" s="13" t="s">
        <v>87</v>
      </c>
      <c r="F28" s="13" t="s">
        <v>88</v>
      </c>
      <c r="G28" s="13" t="s">
        <v>89</v>
      </c>
      <c r="H28" s="13" t="s">
        <v>90</v>
      </c>
      <c r="I28" s="13" t="s">
        <v>90</v>
      </c>
      <c r="J28" s="17" t="s">
        <v>5</v>
      </c>
    </row>
    <row r="29" spans="1:10" ht="93" x14ac:dyDescent="0.35">
      <c r="A29" s="16" t="s">
        <v>91</v>
      </c>
      <c r="B29" s="13" t="s">
        <v>92</v>
      </c>
      <c r="C29" s="13" t="s">
        <v>86</v>
      </c>
      <c r="D29" s="13" t="s">
        <v>86</v>
      </c>
      <c r="E29" s="13" t="s">
        <v>87</v>
      </c>
      <c r="F29" s="13" t="s">
        <v>93</v>
      </c>
      <c r="G29" s="13" t="s">
        <v>89</v>
      </c>
      <c r="H29" s="13" t="s">
        <v>94</v>
      </c>
      <c r="I29" s="13" t="s">
        <v>94</v>
      </c>
      <c r="J29" s="17" t="s">
        <v>5</v>
      </c>
    </row>
    <row r="30" spans="1:10" x14ac:dyDescent="0.35">
      <c r="A30" s="16" t="s">
        <v>95</v>
      </c>
      <c r="B30" s="13" t="s">
        <v>93</v>
      </c>
      <c r="C30" s="13" t="s">
        <v>85</v>
      </c>
      <c r="D30" s="13" t="s">
        <v>86</v>
      </c>
      <c r="E30" s="13" t="s">
        <v>87</v>
      </c>
      <c r="F30" s="13" t="s">
        <v>88</v>
      </c>
      <c r="G30" s="13" t="s">
        <v>89</v>
      </c>
      <c r="H30" s="13" t="s">
        <v>96</v>
      </c>
      <c r="I30" s="13" t="s">
        <v>96</v>
      </c>
      <c r="J30" s="17" t="s">
        <v>5</v>
      </c>
    </row>
    <row r="31" spans="1:10" ht="46.5" x14ac:dyDescent="0.35">
      <c r="A31" s="16" t="s">
        <v>97</v>
      </c>
      <c r="B31" s="13" t="s">
        <v>98</v>
      </c>
      <c r="C31" s="13" t="s">
        <v>85</v>
      </c>
      <c r="D31" s="13" t="s">
        <v>86</v>
      </c>
      <c r="E31" s="13" t="s">
        <v>87</v>
      </c>
      <c r="F31" s="13" t="s">
        <v>88</v>
      </c>
      <c r="G31" s="13" t="s">
        <v>89</v>
      </c>
      <c r="H31" s="13" t="s">
        <v>99</v>
      </c>
      <c r="I31" s="13" t="s">
        <v>99</v>
      </c>
      <c r="J31" s="17" t="s">
        <v>5</v>
      </c>
    </row>
    <row r="32" spans="1:10" ht="46.5" x14ac:dyDescent="0.35">
      <c r="A32" s="16" t="s">
        <v>100</v>
      </c>
      <c r="B32" s="13" t="s">
        <v>92</v>
      </c>
      <c r="C32" s="13" t="s">
        <v>93</v>
      </c>
      <c r="D32" s="13" t="s">
        <v>86</v>
      </c>
      <c r="E32" s="13" t="s">
        <v>87</v>
      </c>
      <c r="F32" s="13" t="s">
        <v>88</v>
      </c>
      <c r="G32" s="13" t="s">
        <v>89</v>
      </c>
      <c r="H32" s="13" t="s">
        <v>101</v>
      </c>
      <c r="I32" s="13" t="s">
        <v>102</v>
      </c>
      <c r="J32" s="17" t="s">
        <v>5</v>
      </c>
    </row>
    <row r="33" spans="1:10" ht="46.5" x14ac:dyDescent="0.35">
      <c r="A33" s="16" t="s">
        <v>103</v>
      </c>
      <c r="B33" s="13" t="s">
        <v>92</v>
      </c>
      <c r="C33" s="13" t="s">
        <v>104</v>
      </c>
      <c r="D33" s="13" t="s">
        <v>86</v>
      </c>
      <c r="E33" s="13" t="s">
        <v>87</v>
      </c>
      <c r="F33" s="13" t="s">
        <v>88</v>
      </c>
      <c r="G33" s="13" t="s">
        <v>89</v>
      </c>
      <c r="H33" s="13" t="s">
        <v>99</v>
      </c>
      <c r="I33" s="13" t="s">
        <v>99</v>
      </c>
      <c r="J33" s="17" t="s">
        <v>5</v>
      </c>
    </row>
    <row r="34" spans="1:10" x14ac:dyDescent="0.35">
      <c r="A34" s="16" t="s">
        <v>105</v>
      </c>
      <c r="B34" s="13" t="s">
        <v>84</v>
      </c>
      <c r="C34" s="13" t="s">
        <v>85</v>
      </c>
      <c r="D34" s="13" t="s">
        <v>104</v>
      </c>
      <c r="E34" s="13" t="s">
        <v>87</v>
      </c>
      <c r="F34" s="13" t="s">
        <v>88</v>
      </c>
      <c r="G34" s="13" t="s">
        <v>89</v>
      </c>
      <c r="H34" s="13" t="s">
        <v>99</v>
      </c>
      <c r="I34" s="13" t="s">
        <v>99</v>
      </c>
      <c r="J34" s="17" t="s">
        <v>5</v>
      </c>
    </row>
    <row r="35" spans="1:10" ht="46.5" x14ac:dyDescent="0.35">
      <c r="A35" s="16" t="s">
        <v>106</v>
      </c>
      <c r="B35" s="13" t="s">
        <v>84</v>
      </c>
      <c r="C35" s="13" t="s">
        <v>85</v>
      </c>
      <c r="D35" s="13" t="s">
        <v>107</v>
      </c>
      <c r="E35" s="13" t="s">
        <v>108</v>
      </c>
      <c r="F35" s="13" t="s">
        <v>88</v>
      </c>
      <c r="G35" s="13" t="s">
        <v>89</v>
      </c>
      <c r="H35" s="13" t="s">
        <v>109</v>
      </c>
      <c r="I35" s="13" t="s">
        <v>102</v>
      </c>
      <c r="J35" s="17" t="s">
        <v>5</v>
      </c>
    </row>
    <row r="36" spans="1:10" x14ac:dyDescent="0.35">
      <c r="A36" s="16" t="s">
        <v>110</v>
      </c>
      <c r="B36" s="13" t="s">
        <v>84</v>
      </c>
      <c r="C36" s="13" t="s">
        <v>85</v>
      </c>
      <c r="D36" s="13" t="s">
        <v>86</v>
      </c>
      <c r="E36" s="13" t="s">
        <v>104</v>
      </c>
      <c r="F36" s="13" t="s">
        <v>88</v>
      </c>
      <c r="G36" s="13" t="s">
        <v>89</v>
      </c>
      <c r="H36" s="13" t="s">
        <v>99</v>
      </c>
      <c r="I36" s="13" t="s">
        <v>99</v>
      </c>
      <c r="J36" s="17" t="s">
        <v>5</v>
      </c>
    </row>
    <row r="37" spans="1:10" ht="46.5" x14ac:dyDescent="0.35">
      <c r="A37" s="16" t="s">
        <v>111</v>
      </c>
      <c r="B37" s="13" t="s">
        <v>84</v>
      </c>
      <c r="C37" s="13" t="s">
        <v>85</v>
      </c>
      <c r="D37" s="13" t="s">
        <v>86</v>
      </c>
      <c r="E37" s="13" t="s">
        <v>112</v>
      </c>
      <c r="F37" s="13" t="s">
        <v>88</v>
      </c>
      <c r="G37" s="13" t="s">
        <v>89</v>
      </c>
      <c r="H37" s="13" t="s">
        <v>113</v>
      </c>
      <c r="I37" s="13" t="s">
        <v>102</v>
      </c>
      <c r="J37" s="17" t="s">
        <v>5</v>
      </c>
    </row>
    <row r="38" spans="1:10" ht="46.5" x14ac:dyDescent="0.35">
      <c r="A38" s="16" t="s">
        <v>114</v>
      </c>
      <c r="B38" s="13" t="s">
        <v>84</v>
      </c>
      <c r="C38" s="13" t="s">
        <v>85</v>
      </c>
      <c r="D38" s="13" t="s">
        <v>86</v>
      </c>
      <c r="E38" s="13" t="s">
        <v>115</v>
      </c>
      <c r="F38" s="13" t="s">
        <v>88</v>
      </c>
      <c r="G38" s="13" t="s">
        <v>89</v>
      </c>
      <c r="H38" s="13" t="s">
        <v>116</v>
      </c>
      <c r="I38" s="13" t="s">
        <v>102</v>
      </c>
      <c r="J38" s="17" t="s">
        <v>5</v>
      </c>
    </row>
    <row r="39" spans="1:10" ht="46.5" x14ac:dyDescent="0.35">
      <c r="A39" s="16" t="s">
        <v>117</v>
      </c>
      <c r="B39" s="13" t="s">
        <v>84</v>
      </c>
      <c r="C39" s="13" t="s">
        <v>85</v>
      </c>
      <c r="D39" s="13" t="s">
        <v>86</v>
      </c>
      <c r="E39" s="13" t="s">
        <v>87</v>
      </c>
      <c r="F39" s="13" t="s">
        <v>88</v>
      </c>
      <c r="G39" s="13" t="s">
        <v>93</v>
      </c>
      <c r="H39" s="13" t="s">
        <v>118</v>
      </c>
      <c r="I39" s="13" t="s">
        <v>102</v>
      </c>
      <c r="J39" s="17" t="s">
        <v>5</v>
      </c>
    </row>
    <row r="40" spans="1:10" x14ac:dyDescent="0.35">
      <c r="A40" s="16" t="s">
        <v>119</v>
      </c>
      <c r="B40" s="13" t="s">
        <v>84</v>
      </c>
      <c r="C40" s="13" t="s">
        <v>85</v>
      </c>
      <c r="D40" s="13" t="s">
        <v>86</v>
      </c>
      <c r="E40" s="13" t="s">
        <v>87</v>
      </c>
      <c r="F40" s="13" t="s">
        <v>104</v>
      </c>
      <c r="G40" s="13" t="s">
        <v>89</v>
      </c>
      <c r="H40" s="13" t="s">
        <v>99</v>
      </c>
      <c r="I40" s="13" t="s">
        <v>99</v>
      </c>
      <c r="J40" s="17" t="s">
        <v>5</v>
      </c>
    </row>
    <row r="41" spans="1:10" ht="46.5" x14ac:dyDescent="0.35">
      <c r="A41" s="16" t="s">
        <v>120</v>
      </c>
      <c r="B41" s="13" t="s">
        <v>84</v>
      </c>
      <c r="C41" s="13" t="s">
        <v>85</v>
      </c>
      <c r="D41" s="13" t="s">
        <v>86</v>
      </c>
      <c r="E41" s="13" t="s">
        <v>87</v>
      </c>
      <c r="F41" s="13" t="s">
        <v>121</v>
      </c>
      <c r="G41" s="13" t="s">
        <v>89</v>
      </c>
      <c r="H41" s="13" t="s">
        <v>122</v>
      </c>
      <c r="I41" s="13" t="s">
        <v>102</v>
      </c>
      <c r="J41" s="17" t="s">
        <v>5</v>
      </c>
    </row>
    <row r="42" spans="1:10" ht="46.5" x14ac:dyDescent="0.35">
      <c r="A42" s="16" t="s">
        <v>123</v>
      </c>
      <c r="B42" s="13" t="s">
        <v>84</v>
      </c>
      <c r="C42" s="13" t="s">
        <v>85</v>
      </c>
      <c r="D42" s="13" t="s">
        <v>86</v>
      </c>
      <c r="E42" s="13" t="s">
        <v>87</v>
      </c>
      <c r="F42" s="13" t="s">
        <v>124</v>
      </c>
      <c r="G42" s="13" t="s">
        <v>89</v>
      </c>
      <c r="H42" s="13" t="s">
        <v>125</v>
      </c>
      <c r="I42" s="13" t="s">
        <v>102</v>
      </c>
      <c r="J42" s="17" t="s">
        <v>5</v>
      </c>
    </row>
  </sheetData>
  <mergeCells count="34">
    <mergeCell ref="A1:J1"/>
    <mergeCell ref="F2:G2"/>
    <mergeCell ref="B3:D3"/>
    <mergeCell ref="G3:J3"/>
    <mergeCell ref="B4:D4"/>
    <mergeCell ref="G4:J4"/>
    <mergeCell ref="B5:D5"/>
    <mergeCell ref="G5:J5"/>
    <mergeCell ref="B6:D6"/>
    <mergeCell ref="G6:J6"/>
    <mergeCell ref="B7:D7"/>
    <mergeCell ref="G7:J7"/>
    <mergeCell ref="A18:J18"/>
    <mergeCell ref="B8:D8"/>
    <mergeCell ref="G8:J8"/>
    <mergeCell ref="B9:D9"/>
    <mergeCell ref="G9:J9"/>
    <mergeCell ref="G10:J10"/>
    <mergeCell ref="G11:J11"/>
    <mergeCell ref="G12:J12"/>
    <mergeCell ref="G13:J13"/>
    <mergeCell ref="G14:J14"/>
    <mergeCell ref="G15:J15"/>
    <mergeCell ref="G16:J16"/>
    <mergeCell ref="A26:A27"/>
    <mergeCell ref="B26:G26"/>
    <mergeCell ref="H26:H27"/>
    <mergeCell ref="I26:I27"/>
    <mergeCell ref="J26:J27"/>
    <mergeCell ref="B20:H20"/>
    <mergeCell ref="B21:H21"/>
    <mergeCell ref="B22:H22"/>
    <mergeCell ref="B23:J23"/>
    <mergeCell ref="B24:J24"/>
  </mergeCells>
  <conditionalFormatting sqref="J28:J42">
    <cfRule type="cellIs" dxfId="107" priority="1" operator="equal">
      <formula>"Pass"</formula>
    </cfRule>
    <cfRule type="cellIs" dxfId="106" priority="2" operator="equal">
      <formula>"Fail"</formula>
    </cfRule>
    <cfRule type="cellIs" dxfId="105" priority="3" operator="equal">
      <formula>"Block"</formula>
    </cfRule>
  </conditionalFormatting>
  <dataValidations count="1">
    <dataValidation type="list" allowBlank="1" sqref="J28:J42" xr:uid="{C49824C0-1163-46BA-B1A2-A8A3CA4FCD84}">
      <formula1>"Pass,Fail,No run,Block"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290D-113C-4B61-AE4E-3F8265052999}">
  <dimension ref="A1:I38"/>
  <sheetViews>
    <sheetView topLeftCell="A22" workbookViewId="0">
      <selection activeCell="I30" sqref="I30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36.75" style="8" customWidth="1"/>
    <col min="7" max="7" width="23.75" style="8" customWidth="1"/>
    <col min="8" max="8" width="14.875" style="8" customWidth="1"/>
    <col min="9" max="9" width="12.125" style="8" customWidth="1"/>
    <col min="10" max="16384" width="7.625" style="8"/>
  </cols>
  <sheetData>
    <row r="1" spans="1:9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  <c r="I1" s="19" t="s">
        <v>133</v>
      </c>
    </row>
    <row r="2" spans="1:9" x14ac:dyDescent="0.35">
      <c r="A2" s="13" t="s">
        <v>134</v>
      </c>
      <c r="B2" s="17" t="s">
        <v>135</v>
      </c>
      <c r="C2" s="17" t="s">
        <v>135</v>
      </c>
      <c r="D2" s="17" t="s">
        <v>136</v>
      </c>
      <c r="E2" s="17" t="s">
        <v>135</v>
      </c>
      <c r="F2" s="17" t="s">
        <v>135</v>
      </c>
      <c r="G2" s="17" t="s">
        <v>135</v>
      </c>
      <c r="H2" s="17" t="s">
        <v>136</v>
      </c>
      <c r="I2" s="17" t="s">
        <v>136</v>
      </c>
    </row>
    <row r="3" spans="1:9" ht="46.5" x14ac:dyDescent="0.35">
      <c r="A3" s="13" t="s">
        <v>137</v>
      </c>
      <c r="B3" s="17" t="s">
        <v>135</v>
      </c>
      <c r="C3" s="17" t="s">
        <v>136</v>
      </c>
      <c r="D3" s="17" t="s">
        <v>85</v>
      </c>
      <c r="E3" s="17" t="s">
        <v>136</v>
      </c>
      <c r="F3" s="17" t="s">
        <v>136</v>
      </c>
      <c r="G3" s="17" t="s">
        <v>136</v>
      </c>
      <c r="H3" s="17" t="s">
        <v>85</v>
      </c>
      <c r="I3" s="17" t="s">
        <v>85</v>
      </c>
    </row>
    <row r="4" spans="1:9" x14ac:dyDescent="0.35">
      <c r="A4" s="13" t="s">
        <v>138</v>
      </c>
      <c r="B4" s="17" t="s">
        <v>85</v>
      </c>
      <c r="C4" s="17" t="s">
        <v>135</v>
      </c>
      <c r="D4" s="17" t="s">
        <v>85</v>
      </c>
      <c r="E4" s="17" t="s">
        <v>136</v>
      </c>
      <c r="F4" s="17" t="s">
        <v>136</v>
      </c>
      <c r="G4" s="17" t="s">
        <v>136</v>
      </c>
      <c r="H4" s="17" t="s">
        <v>85</v>
      </c>
      <c r="I4" s="17" t="s">
        <v>85</v>
      </c>
    </row>
    <row r="5" spans="1:9" ht="46.5" x14ac:dyDescent="0.35">
      <c r="A5" s="13" t="s">
        <v>139</v>
      </c>
      <c r="B5" s="17" t="s">
        <v>85</v>
      </c>
      <c r="C5" s="17" t="s">
        <v>85</v>
      </c>
      <c r="D5" s="17" t="s">
        <v>136</v>
      </c>
      <c r="E5" s="17" t="s">
        <v>85</v>
      </c>
      <c r="F5" s="17" t="s">
        <v>85</v>
      </c>
      <c r="G5" s="17" t="s">
        <v>85</v>
      </c>
      <c r="H5" s="17" t="s">
        <v>135</v>
      </c>
      <c r="I5" s="17" t="s">
        <v>135</v>
      </c>
    </row>
    <row r="6" spans="1:9" x14ac:dyDescent="0.35">
      <c r="A6" s="13" t="s">
        <v>140</v>
      </c>
      <c r="B6" s="17" t="s">
        <v>85</v>
      </c>
      <c r="C6" s="17" t="s">
        <v>85</v>
      </c>
      <c r="D6" s="17" t="s">
        <v>85</v>
      </c>
      <c r="E6" s="17" t="s">
        <v>135</v>
      </c>
      <c r="F6" s="17" t="s">
        <v>135</v>
      </c>
      <c r="G6" s="17" t="s">
        <v>135</v>
      </c>
      <c r="H6" s="17" t="s">
        <v>136</v>
      </c>
      <c r="I6" s="17" t="s">
        <v>136</v>
      </c>
    </row>
    <row r="7" spans="1:9" ht="46.5" x14ac:dyDescent="0.35">
      <c r="A7" s="13" t="s">
        <v>141</v>
      </c>
      <c r="B7" s="17" t="s">
        <v>85</v>
      </c>
      <c r="C7" s="17" t="s">
        <v>85</v>
      </c>
      <c r="D7" s="17" t="s">
        <v>85</v>
      </c>
      <c r="E7" s="17" t="s">
        <v>136</v>
      </c>
      <c r="F7" s="17" t="s">
        <v>135</v>
      </c>
      <c r="G7" s="17" t="s">
        <v>135</v>
      </c>
      <c r="H7" s="17" t="s">
        <v>85</v>
      </c>
      <c r="I7" s="17" t="s">
        <v>85</v>
      </c>
    </row>
    <row r="8" spans="1:9" ht="46.5" x14ac:dyDescent="0.35">
      <c r="A8" s="13" t="s">
        <v>142</v>
      </c>
      <c r="B8" s="17" t="s">
        <v>85</v>
      </c>
      <c r="C8" s="17" t="s">
        <v>85</v>
      </c>
      <c r="D8" s="17" t="s">
        <v>85</v>
      </c>
      <c r="E8" s="17" t="s">
        <v>85</v>
      </c>
      <c r="F8" s="17" t="s">
        <v>136</v>
      </c>
      <c r="G8" s="17" t="s">
        <v>135</v>
      </c>
      <c r="H8" s="17" t="s">
        <v>136</v>
      </c>
      <c r="I8" s="17" t="s">
        <v>135</v>
      </c>
    </row>
    <row r="9" spans="1:9" x14ac:dyDescent="0.35">
      <c r="A9" s="18" t="s">
        <v>143</v>
      </c>
      <c r="B9" s="20"/>
      <c r="C9" s="20"/>
      <c r="D9" s="20"/>
      <c r="E9" s="20"/>
      <c r="F9" s="20"/>
      <c r="G9" s="20"/>
      <c r="H9" s="20"/>
      <c r="I9" s="20"/>
    </row>
    <row r="10" spans="1:9" ht="46.5" x14ac:dyDescent="0.35">
      <c r="A10" s="13" t="s">
        <v>144</v>
      </c>
      <c r="B10" s="17" t="s">
        <v>145</v>
      </c>
      <c r="C10" s="17"/>
      <c r="D10" s="17"/>
      <c r="E10" s="17"/>
      <c r="F10" s="17"/>
      <c r="G10" s="17"/>
      <c r="H10" s="17"/>
      <c r="I10" s="17"/>
    </row>
    <row r="11" spans="1:9" ht="46.5" x14ac:dyDescent="0.35">
      <c r="A11" s="13" t="s">
        <v>146</v>
      </c>
      <c r="B11" s="17"/>
      <c r="C11" s="17" t="s">
        <v>145</v>
      </c>
      <c r="D11" s="17"/>
      <c r="E11" s="17"/>
      <c r="F11" s="17"/>
      <c r="G11" s="17"/>
      <c r="H11" s="17"/>
      <c r="I11" s="17"/>
    </row>
    <row r="12" spans="1:9" ht="46.5" x14ac:dyDescent="0.35">
      <c r="A12" s="13" t="s">
        <v>147</v>
      </c>
      <c r="B12" s="17"/>
      <c r="C12" s="17"/>
      <c r="D12" s="17" t="s">
        <v>145</v>
      </c>
      <c r="E12" s="17"/>
      <c r="F12" s="17"/>
      <c r="G12" s="17"/>
      <c r="H12" s="17"/>
      <c r="I12" s="17"/>
    </row>
    <row r="13" spans="1:9" ht="46.5" x14ac:dyDescent="0.35">
      <c r="A13" s="13" t="s">
        <v>148</v>
      </c>
      <c r="B13" s="17"/>
      <c r="C13" s="17"/>
      <c r="D13" s="17"/>
      <c r="E13" s="17" t="s">
        <v>145</v>
      </c>
      <c r="F13" s="17"/>
      <c r="G13" s="17"/>
      <c r="H13" s="17"/>
      <c r="I13" s="17"/>
    </row>
    <row r="14" spans="1:9" ht="46.5" x14ac:dyDescent="0.35">
      <c r="A14" s="13" t="s">
        <v>149</v>
      </c>
      <c r="B14" s="17"/>
      <c r="C14" s="17"/>
      <c r="D14" s="17"/>
      <c r="E14" s="17"/>
      <c r="F14" s="17" t="s">
        <v>145</v>
      </c>
      <c r="G14" s="17"/>
      <c r="H14" s="17" t="s">
        <v>145</v>
      </c>
      <c r="I14" s="17"/>
    </row>
    <row r="15" spans="1:9" ht="46.5" x14ac:dyDescent="0.35">
      <c r="A15" s="13" t="s">
        <v>150</v>
      </c>
      <c r="B15" s="17"/>
      <c r="C15" s="17"/>
      <c r="D15" s="17"/>
      <c r="E15" s="17"/>
      <c r="F15" s="17"/>
      <c r="G15" s="17" t="s">
        <v>145</v>
      </c>
      <c r="H15" s="17"/>
      <c r="I15" s="17" t="s">
        <v>145</v>
      </c>
    </row>
    <row r="16" spans="1:9" x14ac:dyDescent="0.35">
      <c r="A16" s="13" t="s">
        <v>151</v>
      </c>
      <c r="B16" s="17"/>
      <c r="C16" s="17"/>
      <c r="D16" s="17"/>
      <c r="E16" s="17"/>
      <c r="F16" s="17"/>
      <c r="G16" s="17"/>
      <c r="H16" s="17"/>
      <c r="I16" s="17"/>
    </row>
    <row r="17" spans="1:9" x14ac:dyDescent="0.35">
      <c r="A17" s="35" t="s">
        <v>152</v>
      </c>
      <c r="B17" s="35"/>
      <c r="C17" s="35"/>
      <c r="D17" s="35"/>
      <c r="E17" s="35"/>
      <c r="F17" s="35"/>
      <c r="G17" s="35"/>
      <c r="H17" s="35"/>
      <c r="I17" s="35"/>
    </row>
    <row r="19" spans="1:9" x14ac:dyDescent="0.35">
      <c r="A19" s="30" t="s">
        <v>57</v>
      </c>
      <c r="B19" s="30"/>
      <c r="C19" s="30"/>
      <c r="D19" s="30"/>
      <c r="E19" s="30"/>
      <c r="F19" s="30"/>
      <c r="G19" s="30"/>
      <c r="H19" s="30"/>
      <c r="I19" s="30"/>
    </row>
    <row r="21" spans="1:9" ht="46.5" x14ac:dyDescent="0.35">
      <c r="A21" s="12" t="s">
        <v>58</v>
      </c>
      <c r="B21" s="28" t="s">
        <v>153</v>
      </c>
      <c r="C21" s="28"/>
      <c r="D21" s="28"/>
      <c r="E21" s="28"/>
      <c r="F21" s="28"/>
      <c r="G21" s="21"/>
      <c r="H21" s="12" t="s">
        <v>60</v>
      </c>
      <c r="I21" s="14" t="s">
        <v>154</v>
      </c>
    </row>
    <row r="22" spans="1:9" ht="46.5" x14ac:dyDescent="0.35">
      <c r="A22" s="12" t="s">
        <v>61</v>
      </c>
      <c r="B22" s="28" t="s">
        <v>155</v>
      </c>
      <c r="C22" s="28"/>
      <c r="D22" s="28"/>
      <c r="E22" s="28"/>
      <c r="F22" s="28"/>
      <c r="G22" s="21"/>
      <c r="H22" s="12" t="s">
        <v>63</v>
      </c>
      <c r="I22" s="14" t="s">
        <v>156</v>
      </c>
    </row>
    <row r="23" spans="1:9" ht="49.5" customHeight="1" x14ac:dyDescent="0.35">
      <c r="A23" s="12" t="s">
        <v>64</v>
      </c>
      <c r="B23" s="36" t="s">
        <v>65</v>
      </c>
      <c r="C23" s="37"/>
      <c r="D23" s="37"/>
      <c r="E23" s="37"/>
      <c r="F23" s="38"/>
      <c r="G23" s="21"/>
      <c r="H23" s="12" t="s">
        <v>66</v>
      </c>
      <c r="I23" s="13" t="s">
        <v>67</v>
      </c>
    </row>
    <row r="24" spans="1:9" x14ac:dyDescent="0.35">
      <c r="A24" s="12" t="s">
        <v>68</v>
      </c>
      <c r="B24" s="28" t="s">
        <v>157</v>
      </c>
      <c r="C24" s="28"/>
      <c r="D24" s="28"/>
      <c r="E24" s="28"/>
      <c r="F24" s="28"/>
      <c r="G24" s="28"/>
      <c r="H24" s="28"/>
      <c r="I24" s="28"/>
    </row>
    <row r="25" spans="1:9" x14ac:dyDescent="0.35">
      <c r="A25" s="12" t="s">
        <v>70</v>
      </c>
      <c r="B25" s="28" t="s">
        <v>158</v>
      </c>
      <c r="C25" s="28"/>
      <c r="D25" s="28"/>
      <c r="E25" s="28"/>
      <c r="F25" s="28"/>
      <c r="G25" s="28"/>
      <c r="H25" s="28"/>
      <c r="I25" s="28"/>
    </row>
    <row r="27" spans="1:9" x14ac:dyDescent="0.35">
      <c r="A27" s="29" t="s">
        <v>159</v>
      </c>
      <c r="B27" s="29" t="s">
        <v>72</v>
      </c>
      <c r="C27" s="29" t="s">
        <v>73</v>
      </c>
      <c r="D27" s="29"/>
      <c r="E27" s="29"/>
      <c r="F27" s="29" t="s">
        <v>74</v>
      </c>
      <c r="G27" s="29" t="s">
        <v>75</v>
      </c>
      <c r="H27" s="29" t="s">
        <v>76</v>
      </c>
    </row>
    <row r="28" spans="1:9" ht="46.5" x14ac:dyDescent="0.35">
      <c r="A28" s="29"/>
      <c r="B28" s="29"/>
      <c r="C28" s="15" t="s">
        <v>81</v>
      </c>
      <c r="D28" s="15" t="s">
        <v>160</v>
      </c>
      <c r="E28" s="15" t="s">
        <v>161</v>
      </c>
      <c r="F28" s="29"/>
      <c r="G28" s="29"/>
      <c r="H28" s="29"/>
    </row>
    <row r="29" spans="1:9" ht="69.75" x14ac:dyDescent="0.35">
      <c r="A29" s="17" t="s">
        <v>162</v>
      </c>
      <c r="B29" s="16" t="s">
        <v>163</v>
      </c>
      <c r="C29" s="13" t="s">
        <v>88</v>
      </c>
      <c r="D29" s="13" t="s">
        <v>93</v>
      </c>
      <c r="E29" s="13" t="s">
        <v>164</v>
      </c>
      <c r="F29" s="13" t="s">
        <v>201</v>
      </c>
      <c r="G29" s="13" t="s">
        <v>201</v>
      </c>
      <c r="H29" s="17" t="s">
        <v>5</v>
      </c>
    </row>
    <row r="30" spans="1:9" ht="93" x14ac:dyDescent="0.35">
      <c r="A30" s="17" t="s">
        <v>162</v>
      </c>
      <c r="B30" s="16" t="s">
        <v>165</v>
      </c>
      <c r="C30" s="13" t="s">
        <v>88</v>
      </c>
      <c r="D30" s="13" t="s">
        <v>93</v>
      </c>
      <c r="E30" s="13" t="s">
        <v>166</v>
      </c>
      <c r="F30" s="13" t="s">
        <v>203</v>
      </c>
      <c r="G30" s="13" t="s">
        <v>203</v>
      </c>
      <c r="H30" s="17" t="s">
        <v>5</v>
      </c>
    </row>
    <row r="31" spans="1:9" ht="93" x14ac:dyDescent="0.35">
      <c r="A31" s="17" t="s">
        <v>167</v>
      </c>
      <c r="B31" s="16" t="s">
        <v>168</v>
      </c>
      <c r="C31" s="13" t="s">
        <v>88</v>
      </c>
      <c r="D31" s="13" t="s">
        <v>93</v>
      </c>
      <c r="E31" s="13" t="s">
        <v>169</v>
      </c>
      <c r="F31" s="13" t="s">
        <v>170</v>
      </c>
      <c r="G31" s="13" t="s">
        <v>201</v>
      </c>
      <c r="H31" s="17" t="s">
        <v>5</v>
      </c>
    </row>
    <row r="32" spans="1:9" ht="93" x14ac:dyDescent="0.35">
      <c r="A32" s="17" t="s">
        <v>171</v>
      </c>
      <c r="B32" s="16" t="s">
        <v>172</v>
      </c>
      <c r="C32" s="13" t="s">
        <v>93</v>
      </c>
      <c r="D32" s="13" t="s">
        <v>93</v>
      </c>
      <c r="E32" s="13" t="s">
        <v>173</v>
      </c>
      <c r="F32" s="13" t="s">
        <v>174</v>
      </c>
      <c r="G32" s="13" t="s">
        <v>201</v>
      </c>
      <c r="H32" s="17" t="s">
        <v>5</v>
      </c>
    </row>
    <row r="33" spans="1:8" ht="46.5" x14ac:dyDescent="0.35">
      <c r="A33" s="17" t="s">
        <v>175</v>
      </c>
      <c r="B33" s="16" t="s">
        <v>176</v>
      </c>
      <c r="C33" s="13" t="s">
        <v>88</v>
      </c>
      <c r="D33" s="13" t="s">
        <v>177</v>
      </c>
      <c r="E33" s="13" t="s">
        <v>178</v>
      </c>
      <c r="F33" s="13" t="s">
        <v>179</v>
      </c>
      <c r="G33" s="13" t="s">
        <v>102</v>
      </c>
      <c r="H33" s="17" t="s">
        <v>5</v>
      </c>
    </row>
    <row r="34" spans="1:8" ht="46.5" x14ac:dyDescent="0.35">
      <c r="A34" s="17" t="s">
        <v>175</v>
      </c>
      <c r="B34" s="16" t="s">
        <v>180</v>
      </c>
      <c r="C34" s="13" t="s">
        <v>88</v>
      </c>
      <c r="D34" s="13" t="s">
        <v>181</v>
      </c>
      <c r="E34" s="13" t="s">
        <v>178</v>
      </c>
      <c r="F34" s="13" t="s">
        <v>182</v>
      </c>
      <c r="G34" s="13" t="s">
        <v>102</v>
      </c>
      <c r="H34" s="17" t="s">
        <v>5</v>
      </c>
    </row>
    <row r="35" spans="1:8" ht="69.75" x14ac:dyDescent="0.35">
      <c r="A35" s="17" t="s">
        <v>183</v>
      </c>
      <c r="B35" s="16" t="s">
        <v>184</v>
      </c>
      <c r="C35" s="13" t="s">
        <v>88</v>
      </c>
      <c r="D35" s="13" t="s">
        <v>185</v>
      </c>
      <c r="E35" s="13" t="s">
        <v>186</v>
      </c>
      <c r="F35" s="13" t="s">
        <v>187</v>
      </c>
      <c r="G35" s="13" t="s">
        <v>201</v>
      </c>
      <c r="H35" s="17" t="s">
        <v>5</v>
      </c>
    </row>
    <row r="36" spans="1:8" ht="46.5" x14ac:dyDescent="0.35">
      <c r="A36" s="17" t="s">
        <v>188</v>
      </c>
      <c r="B36" s="16" t="s">
        <v>189</v>
      </c>
      <c r="C36" s="13" t="s">
        <v>88</v>
      </c>
      <c r="D36" s="13" t="s">
        <v>190</v>
      </c>
      <c r="E36" s="13" t="s">
        <v>191</v>
      </c>
      <c r="F36" s="13" t="s">
        <v>192</v>
      </c>
      <c r="G36" s="13" t="s">
        <v>192</v>
      </c>
      <c r="H36" s="17" t="s">
        <v>5</v>
      </c>
    </row>
    <row r="37" spans="1:8" ht="69.75" x14ac:dyDescent="0.35">
      <c r="A37" s="17" t="s">
        <v>193</v>
      </c>
      <c r="B37" s="16" t="s">
        <v>194</v>
      </c>
      <c r="C37" s="13" t="s">
        <v>93</v>
      </c>
      <c r="D37" s="13" t="s">
        <v>93</v>
      </c>
      <c r="E37" s="13" t="s">
        <v>195</v>
      </c>
      <c r="F37" s="13" t="s">
        <v>196</v>
      </c>
      <c r="G37" s="13" t="s">
        <v>201</v>
      </c>
      <c r="H37" s="17" t="s">
        <v>5</v>
      </c>
    </row>
    <row r="38" spans="1:8" ht="93" x14ac:dyDescent="0.35">
      <c r="A38" s="17" t="s">
        <v>197</v>
      </c>
      <c r="B38" s="16" t="s">
        <v>198</v>
      </c>
      <c r="C38" s="13" t="s">
        <v>93</v>
      </c>
      <c r="D38" s="13" t="s">
        <v>93</v>
      </c>
      <c r="E38" s="13" t="s">
        <v>199</v>
      </c>
      <c r="F38" s="13" t="s">
        <v>200</v>
      </c>
      <c r="G38" s="13" t="s">
        <v>202</v>
      </c>
      <c r="H38" s="17" t="s">
        <v>5</v>
      </c>
    </row>
  </sheetData>
  <mergeCells count="13">
    <mergeCell ref="B25:I25"/>
    <mergeCell ref="A27:A28"/>
    <mergeCell ref="B27:B28"/>
    <mergeCell ref="C27:E27"/>
    <mergeCell ref="F27:F28"/>
    <mergeCell ref="G27:G28"/>
    <mergeCell ref="H27:H28"/>
    <mergeCell ref="B24:I24"/>
    <mergeCell ref="A17:I17"/>
    <mergeCell ref="A19:I19"/>
    <mergeCell ref="B21:F21"/>
    <mergeCell ref="B22:F22"/>
    <mergeCell ref="B23:F23"/>
  </mergeCells>
  <conditionalFormatting sqref="H29:H38">
    <cfRule type="cellIs" dxfId="104" priority="1" operator="equal">
      <formula>"Pass"</formula>
    </cfRule>
    <cfRule type="cellIs" dxfId="103" priority="2" operator="equal">
      <formula>"Fail"</formula>
    </cfRule>
    <cfRule type="cellIs" dxfId="102" priority="3" operator="equal">
      <formula>"Block"</formula>
    </cfRule>
  </conditionalFormatting>
  <dataValidations count="1">
    <dataValidation type="list" allowBlank="1" sqref="H29:H38" xr:uid="{68656FA3-FFAA-482E-8005-5780985C4D96}">
      <formula1>"Pass,Fail,No run,Block"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0EA3-2DDD-4A0A-9B5D-3EC95B3F0ED3}">
  <dimension ref="A1:L23"/>
  <sheetViews>
    <sheetView topLeftCell="A13" workbookViewId="0">
      <selection activeCell="H12" sqref="H12"/>
    </sheetView>
  </sheetViews>
  <sheetFormatPr defaultColWidth="7.625" defaultRowHeight="23.25" x14ac:dyDescent="0.35"/>
  <cols>
    <col min="1" max="1" width="19.25" style="8" customWidth="1"/>
    <col min="2" max="4" width="14.875" style="8" customWidth="1"/>
    <col min="5" max="5" width="35" style="8" customWidth="1"/>
    <col min="6" max="6" width="15.75" style="8" customWidth="1"/>
    <col min="7" max="7" width="14.875" style="8" customWidth="1"/>
    <col min="8" max="9" width="7.625" style="8"/>
    <col min="10" max="10" width="8.75" style="8" customWidth="1"/>
    <col min="11" max="12" width="19.25" style="8" customWidth="1"/>
    <col min="13" max="16384" width="7.625" style="8"/>
  </cols>
  <sheetData>
    <row r="1" spans="1:12" ht="46.5" x14ac:dyDescent="0.35">
      <c r="A1" s="30" t="s">
        <v>57</v>
      </c>
      <c r="B1" s="30"/>
      <c r="C1" s="30"/>
      <c r="D1" s="30"/>
      <c r="E1" s="30"/>
      <c r="F1" s="30"/>
      <c r="G1" s="30"/>
      <c r="J1" s="13"/>
      <c r="K1" s="15" t="s">
        <v>221</v>
      </c>
      <c r="L1" s="15" t="s">
        <v>222</v>
      </c>
    </row>
    <row r="2" spans="1:12" x14ac:dyDescent="0.35">
      <c r="J2" s="17" t="s">
        <v>223</v>
      </c>
      <c r="K2" s="17" t="s">
        <v>224</v>
      </c>
      <c r="L2" s="17" t="s">
        <v>225</v>
      </c>
    </row>
    <row r="3" spans="1:12" x14ac:dyDescent="0.35">
      <c r="A3" s="12" t="s">
        <v>58</v>
      </c>
      <c r="B3" s="28" t="s">
        <v>226</v>
      </c>
      <c r="C3" s="28"/>
      <c r="D3" s="28"/>
      <c r="E3" s="28"/>
      <c r="F3" s="12" t="s">
        <v>60</v>
      </c>
      <c r="G3" s="14" t="s">
        <v>154</v>
      </c>
      <c r="J3" s="17" t="s">
        <v>227</v>
      </c>
      <c r="K3" s="17" t="s">
        <v>228</v>
      </c>
      <c r="L3" s="17" t="s">
        <v>229</v>
      </c>
    </row>
    <row r="4" spans="1:12" x14ac:dyDescent="0.35">
      <c r="A4" s="12" t="s">
        <v>61</v>
      </c>
      <c r="B4" s="28" t="s">
        <v>230</v>
      </c>
      <c r="C4" s="28"/>
      <c r="D4" s="28"/>
      <c r="E4" s="28"/>
      <c r="F4" s="12" t="s">
        <v>63</v>
      </c>
      <c r="G4" s="14" t="s">
        <v>156</v>
      </c>
      <c r="J4" s="17" t="s">
        <v>231</v>
      </c>
      <c r="K4" s="17" t="s">
        <v>108</v>
      </c>
      <c r="L4" s="17" t="s">
        <v>232</v>
      </c>
    </row>
    <row r="5" spans="1:12" ht="46.5" x14ac:dyDescent="0.35">
      <c r="A5" s="12" t="s">
        <v>64</v>
      </c>
      <c r="B5" s="28" t="s">
        <v>65</v>
      </c>
      <c r="C5" s="28"/>
      <c r="D5" s="28"/>
      <c r="E5" s="28"/>
      <c r="F5" s="12" t="s">
        <v>66</v>
      </c>
      <c r="G5" s="13" t="s">
        <v>67</v>
      </c>
      <c r="J5" s="17" t="s">
        <v>233</v>
      </c>
      <c r="K5" s="17" t="s">
        <v>234</v>
      </c>
      <c r="L5" s="17" t="s">
        <v>235</v>
      </c>
    </row>
    <row r="6" spans="1:12" ht="46.5" x14ac:dyDescent="0.35">
      <c r="A6" s="12" t="s">
        <v>68</v>
      </c>
      <c r="B6" s="28" t="s">
        <v>236</v>
      </c>
      <c r="C6" s="28"/>
      <c r="D6" s="28"/>
      <c r="E6" s="28"/>
      <c r="F6" s="28"/>
      <c r="G6" s="28"/>
      <c r="J6" s="17" t="s">
        <v>237</v>
      </c>
      <c r="K6" s="17" t="s">
        <v>238</v>
      </c>
      <c r="L6" s="17" t="s">
        <v>239</v>
      </c>
    </row>
    <row r="7" spans="1:12" ht="46.5" x14ac:dyDescent="0.35">
      <c r="A7" s="12" t="s">
        <v>70</v>
      </c>
      <c r="B7" s="28" t="s">
        <v>242</v>
      </c>
      <c r="C7" s="28"/>
      <c r="D7" s="28"/>
      <c r="E7" s="28"/>
      <c r="F7" s="28"/>
      <c r="G7" s="28"/>
      <c r="J7" s="17" t="s">
        <v>243</v>
      </c>
      <c r="K7" s="17" t="s">
        <v>244</v>
      </c>
      <c r="L7" s="17" t="s">
        <v>245</v>
      </c>
    </row>
    <row r="9" spans="1:12" x14ac:dyDescent="0.35">
      <c r="A9" s="29" t="s">
        <v>72</v>
      </c>
      <c r="B9" s="29" t="s">
        <v>73</v>
      </c>
      <c r="C9" s="29"/>
      <c r="D9" s="29"/>
      <c r="E9" s="29" t="s">
        <v>74</v>
      </c>
      <c r="F9" s="29" t="s">
        <v>75</v>
      </c>
      <c r="G9" s="29" t="s">
        <v>76</v>
      </c>
    </row>
    <row r="10" spans="1:12" x14ac:dyDescent="0.35">
      <c r="A10" s="29"/>
      <c r="B10" s="15" t="s">
        <v>82</v>
      </c>
      <c r="C10" s="15" t="s">
        <v>246</v>
      </c>
      <c r="D10" s="15" t="s">
        <v>247</v>
      </c>
      <c r="E10" s="29"/>
      <c r="F10" s="29"/>
      <c r="G10" s="29"/>
    </row>
    <row r="11" spans="1:12" ht="46.5" x14ac:dyDescent="0.35">
      <c r="A11" s="16" t="s">
        <v>248</v>
      </c>
      <c r="B11" s="13" t="s">
        <v>249</v>
      </c>
      <c r="C11" s="13" t="s">
        <v>234</v>
      </c>
      <c r="D11" s="13" t="s">
        <v>235</v>
      </c>
      <c r="E11" s="13" t="s">
        <v>250</v>
      </c>
      <c r="F11" s="13" t="s">
        <v>257</v>
      </c>
      <c r="G11" s="17" t="s">
        <v>5</v>
      </c>
    </row>
    <row r="12" spans="1:12" ht="46.5" x14ac:dyDescent="0.35">
      <c r="A12" s="16" t="s">
        <v>251</v>
      </c>
      <c r="B12" s="13" t="s">
        <v>252</v>
      </c>
      <c r="C12" s="13" t="s">
        <v>224</v>
      </c>
      <c r="D12" s="13" t="s">
        <v>253</v>
      </c>
      <c r="E12" s="13" t="s">
        <v>254</v>
      </c>
      <c r="F12" s="13" t="s">
        <v>257</v>
      </c>
      <c r="G12" s="17" t="s">
        <v>5</v>
      </c>
    </row>
    <row r="13" spans="1:12" ht="46.5" x14ac:dyDescent="0.35">
      <c r="A13" s="16" t="s">
        <v>255</v>
      </c>
      <c r="B13" s="13" t="s">
        <v>256</v>
      </c>
      <c r="C13" s="13" t="s">
        <v>228</v>
      </c>
      <c r="D13" s="13" t="s">
        <v>235</v>
      </c>
      <c r="E13" s="13" t="s">
        <v>257</v>
      </c>
      <c r="F13" s="13" t="s">
        <v>257</v>
      </c>
      <c r="G13" s="17" t="s">
        <v>5</v>
      </c>
    </row>
    <row r="14" spans="1:12" ht="46.5" x14ac:dyDescent="0.35">
      <c r="A14" s="16" t="s">
        <v>258</v>
      </c>
      <c r="B14" s="13" t="s">
        <v>259</v>
      </c>
      <c r="C14" s="13" t="s">
        <v>108</v>
      </c>
      <c r="D14" s="13" t="s">
        <v>260</v>
      </c>
      <c r="E14" s="13" t="s">
        <v>257</v>
      </c>
      <c r="F14" s="13" t="s">
        <v>257</v>
      </c>
      <c r="G14" s="17" t="s">
        <v>5</v>
      </c>
    </row>
    <row r="15" spans="1:12" ht="46.5" x14ac:dyDescent="0.35">
      <c r="A15" s="16" t="s">
        <v>261</v>
      </c>
      <c r="B15" s="13" t="s">
        <v>262</v>
      </c>
      <c r="C15" s="13" t="s">
        <v>238</v>
      </c>
      <c r="D15" s="13" t="s">
        <v>263</v>
      </c>
      <c r="E15" s="13" t="s">
        <v>257</v>
      </c>
      <c r="F15" s="13" t="s">
        <v>257</v>
      </c>
      <c r="G15" s="17" t="s">
        <v>5</v>
      </c>
    </row>
    <row r="16" spans="1:12" ht="46.5" x14ac:dyDescent="0.35">
      <c r="A16" s="16" t="s">
        <v>264</v>
      </c>
      <c r="B16" s="13" t="s">
        <v>265</v>
      </c>
      <c r="C16" s="13" t="s">
        <v>240</v>
      </c>
      <c r="D16" s="13" t="s">
        <v>266</v>
      </c>
      <c r="E16" s="13" t="s">
        <v>257</v>
      </c>
      <c r="F16" s="13" t="s">
        <v>257</v>
      </c>
      <c r="G16" s="17" t="s">
        <v>5</v>
      </c>
    </row>
    <row r="17" spans="1:7" ht="46.5" x14ac:dyDescent="0.35">
      <c r="A17" s="16" t="s">
        <v>267</v>
      </c>
      <c r="B17" s="13" t="s">
        <v>268</v>
      </c>
      <c r="C17" s="13" t="s">
        <v>244</v>
      </c>
      <c r="D17" s="13" t="s">
        <v>269</v>
      </c>
      <c r="E17" s="13" t="s">
        <v>270</v>
      </c>
      <c r="F17" s="13" t="s">
        <v>257</v>
      </c>
      <c r="G17" s="17" t="s">
        <v>5</v>
      </c>
    </row>
    <row r="18" spans="1:7" ht="46.5" x14ac:dyDescent="0.35">
      <c r="A18" s="16" t="s">
        <v>271</v>
      </c>
      <c r="B18" s="13" t="s">
        <v>272</v>
      </c>
      <c r="C18" s="13" t="s">
        <v>273</v>
      </c>
      <c r="D18" s="13" t="s">
        <v>225</v>
      </c>
      <c r="E18" s="13" t="s">
        <v>274</v>
      </c>
      <c r="F18" s="13" t="s">
        <v>257</v>
      </c>
      <c r="G18" s="17" t="s">
        <v>5</v>
      </c>
    </row>
    <row r="19" spans="1:7" ht="46.5" x14ac:dyDescent="0.35">
      <c r="A19" s="16" t="s">
        <v>275</v>
      </c>
      <c r="B19" s="13" t="s">
        <v>276</v>
      </c>
      <c r="C19" s="13" t="s">
        <v>277</v>
      </c>
      <c r="D19" s="13" t="s">
        <v>229</v>
      </c>
      <c r="E19" s="13" t="s">
        <v>257</v>
      </c>
      <c r="F19" s="13" t="s">
        <v>257</v>
      </c>
      <c r="G19" s="17" t="s">
        <v>5</v>
      </c>
    </row>
    <row r="20" spans="1:7" ht="46.5" x14ac:dyDescent="0.35">
      <c r="A20" s="16" t="s">
        <v>278</v>
      </c>
      <c r="B20" s="13" t="s">
        <v>279</v>
      </c>
      <c r="C20" s="13" t="s">
        <v>280</v>
      </c>
      <c r="D20" s="13" t="s">
        <v>232</v>
      </c>
      <c r="E20" s="13" t="s">
        <v>257</v>
      </c>
      <c r="F20" s="13" t="s">
        <v>257</v>
      </c>
      <c r="G20" s="17" t="s">
        <v>5</v>
      </c>
    </row>
    <row r="21" spans="1:7" ht="46.5" x14ac:dyDescent="0.35">
      <c r="A21" s="16" t="s">
        <v>281</v>
      </c>
      <c r="B21" s="13" t="s">
        <v>282</v>
      </c>
      <c r="C21" s="13" t="s">
        <v>283</v>
      </c>
      <c r="D21" s="13" t="s">
        <v>239</v>
      </c>
      <c r="E21" s="13" t="s">
        <v>257</v>
      </c>
      <c r="F21" s="13" t="s">
        <v>257</v>
      </c>
      <c r="G21" s="17" t="s">
        <v>5</v>
      </c>
    </row>
    <row r="22" spans="1:7" ht="46.5" x14ac:dyDescent="0.35">
      <c r="A22" s="16" t="s">
        <v>284</v>
      </c>
      <c r="B22" s="13" t="s">
        <v>285</v>
      </c>
      <c r="C22" s="13" t="s">
        <v>286</v>
      </c>
      <c r="D22" s="13" t="s">
        <v>241</v>
      </c>
      <c r="E22" s="13" t="s">
        <v>287</v>
      </c>
      <c r="F22" s="13" t="s">
        <v>257</v>
      </c>
      <c r="G22" s="17" t="s">
        <v>5</v>
      </c>
    </row>
    <row r="23" spans="1:7" ht="46.5" x14ac:dyDescent="0.35">
      <c r="A23" s="16" t="s">
        <v>288</v>
      </c>
      <c r="B23" s="13" t="s">
        <v>289</v>
      </c>
      <c r="C23" s="13" t="s">
        <v>290</v>
      </c>
      <c r="D23" s="13" t="s">
        <v>245</v>
      </c>
      <c r="E23" s="13" t="s">
        <v>291</v>
      </c>
      <c r="F23" s="13" t="s">
        <v>257</v>
      </c>
      <c r="G23" s="17" t="s">
        <v>5</v>
      </c>
    </row>
  </sheetData>
  <mergeCells count="11">
    <mergeCell ref="A1:G1"/>
    <mergeCell ref="B3:E3"/>
    <mergeCell ref="B4:E4"/>
    <mergeCell ref="B5:E5"/>
    <mergeCell ref="B6:G6"/>
    <mergeCell ref="B7:G7"/>
    <mergeCell ref="A9:A10"/>
    <mergeCell ref="B9:D9"/>
    <mergeCell ref="E9:E10"/>
    <mergeCell ref="F9:F10"/>
    <mergeCell ref="G9:G10"/>
  </mergeCells>
  <conditionalFormatting sqref="G11:G23">
    <cfRule type="cellIs" dxfId="101" priority="1" operator="equal">
      <formula>"Pass"</formula>
    </cfRule>
    <cfRule type="cellIs" dxfId="100" priority="2" operator="equal">
      <formula>"Fail"</formula>
    </cfRule>
    <cfRule type="cellIs" dxfId="99" priority="3" operator="equal">
      <formula>"Block"</formula>
    </cfRule>
  </conditionalFormatting>
  <dataValidations count="1">
    <dataValidation type="list" allowBlank="1" sqref="G11:G23" xr:uid="{866B5AC5-B25F-4B37-866D-E6C5E90C47BD}">
      <formula1>"Pass,Fail,No run,Block"</formula1>
      <formula2>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2CCE-24BD-4103-9358-01382E6E8A1D}">
  <dimension ref="A1:O23"/>
  <sheetViews>
    <sheetView workbookViewId="0">
      <selection activeCell="B9" sqref="B9:E9"/>
    </sheetView>
  </sheetViews>
  <sheetFormatPr defaultColWidth="7.625" defaultRowHeight="23.25" x14ac:dyDescent="0.35"/>
  <cols>
    <col min="1" max="1" width="19.25" style="8" customWidth="1"/>
    <col min="2" max="5" width="12.25" style="8" customWidth="1"/>
    <col min="6" max="6" width="31.5" style="8" customWidth="1"/>
    <col min="7" max="7" width="17" style="8" customWidth="1"/>
    <col min="8" max="8" width="14.875" style="8" customWidth="1"/>
    <col min="9" max="10" width="7.625" style="8"/>
    <col min="11" max="11" width="8.75" style="8" customWidth="1"/>
    <col min="12" max="15" width="15.75" style="8" customWidth="1"/>
    <col min="16" max="16384" width="7.625" style="8"/>
  </cols>
  <sheetData>
    <row r="1" spans="1:15" ht="69.75" x14ac:dyDescent="0.35">
      <c r="A1" s="30" t="s">
        <v>57</v>
      </c>
      <c r="B1" s="30"/>
      <c r="C1" s="30"/>
      <c r="D1" s="30"/>
      <c r="E1" s="30"/>
      <c r="F1" s="30"/>
      <c r="G1" s="30"/>
      <c r="H1" s="30"/>
      <c r="K1" s="13"/>
      <c r="L1" s="15" t="s">
        <v>297</v>
      </c>
      <c r="M1" s="15" t="s">
        <v>298</v>
      </c>
      <c r="N1" s="15" t="s">
        <v>299</v>
      </c>
      <c r="O1" s="15" t="s">
        <v>300</v>
      </c>
    </row>
    <row r="2" spans="1:15" x14ac:dyDescent="0.35">
      <c r="K2" s="17" t="s">
        <v>301</v>
      </c>
      <c r="L2" s="17" t="s">
        <v>302</v>
      </c>
      <c r="M2" s="17" t="s">
        <v>302</v>
      </c>
      <c r="N2" s="17" t="s">
        <v>303</v>
      </c>
      <c r="O2" s="17" t="s">
        <v>303</v>
      </c>
    </row>
    <row r="3" spans="1:15" x14ac:dyDescent="0.35">
      <c r="A3" s="12" t="s">
        <v>58</v>
      </c>
      <c r="B3" s="28" t="s">
        <v>304</v>
      </c>
      <c r="C3" s="28"/>
      <c r="D3" s="28"/>
      <c r="E3" s="28"/>
      <c r="F3" s="28"/>
      <c r="G3" s="12" t="s">
        <v>60</v>
      </c>
      <c r="H3" s="14" t="s">
        <v>154</v>
      </c>
      <c r="K3" s="17" t="s">
        <v>305</v>
      </c>
      <c r="L3" s="17" t="s">
        <v>306</v>
      </c>
      <c r="M3" s="17" t="s">
        <v>306</v>
      </c>
      <c r="N3" s="17" t="s">
        <v>307</v>
      </c>
      <c r="O3" s="17" t="s">
        <v>307</v>
      </c>
    </row>
    <row r="4" spans="1:15" x14ac:dyDescent="0.35">
      <c r="A4" s="12" t="s">
        <v>61</v>
      </c>
      <c r="B4" s="28" t="s">
        <v>308</v>
      </c>
      <c r="C4" s="28"/>
      <c r="D4" s="28"/>
      <c r="E4" s="28"/>
      <c r="F4" s="28"/>
      <c r="G4" s="12" t="s">
        <v>63</v>
      </c>
      <c r="H4" s="14" t="s">
        <v>156</v>
      </c>
      <c r="K4" s="17" t="s">
        <v>309</v>
      </c>
      <c r="L4" s="17" t="s">
        <v>310</v>
      </c>
      <c r="M4" s="17" t="s">
        <v>310</v>
      </c>
      <c r="N4" s="17" t="s">
        <v>86</v>
      </c>
      <c r="O4" s="17" t="s">
        <v>86</v>
      </c>
    </row>
    <row r="5" spans="1:15" ht="46.5" x14ac:dyDescent="0.35">
      <c r="A5" s="12" t="s">
        <v>64</v>
      </c>
      <c r="B5" s="28" t="s">
        <v>65</v>
      </c>
      <c r="C5" s="28"/>
      <c r="D5" s="28"/>
      <c r="E5" s="28"/>
      <c r="F5" s="28"/>
      <c r="G5" s="12" t="s">
        <v>66</v>
      </c>
      <c r="H5" s="13" t="s">
        <v>67</v>
      </c>
      <c r="K5" s="17" t="s">
        <v>233</v>
      </c>
      <c r="L5" s="17" t="s">
        <v>311</v>
      </c>
      <c r="M5" s="17" t="s">
        <v>85</v>
      </c>
      <c r="N5" s="17" t="s">
        <v>85</v>
      </c>
      <c r="O5" s="17" t="s">
        <v>85</v>
      </c>
    </row>
    <row r="6" spans="1:15" ht="46.5" x14ac:dyDescent="0.35">
      <c r="A6" s="12" t="s">
        <v>68</v>
      </c>
      <c r="B6" s="28" t="s">
        <v>312</v>
      </c>
      <c r="C6" s="28"/>
      <c r="D6" s="28"/>
      <c r="E6" s="28"/>
      <c r="F6" s="28"/>
      <c r="G6" s="28"/>
      <c r="H6" s="28"/>
    </row>
    <row r="7" spans="1:15" ht="46.5" x14ac:dyDescent="0.35">
      <c r="A7" s="12" t="s">
        <v>70</v>
      </c>
      <c r="B7" s="28" t="s">
        <v>448</v>
      </c>
      <c r="C7" s="28"/>
      <c r="D7" s="28"/>
      <c r="E7" s="28"/>
      <c r="F7" s="28"/>
      <c r="G7" s="28"/>
      <c r="H7" s="28"/>
    </row>
    <row r="9" spans="1:15" x14ac:dyDescent="0.35">
      <c r="A9" s="29" t="s">
        <v>72</v>
      </c>
      <c r="B9" s="29" t="s">
        <v>73</v>
      </c>
      <c r="C9" s="29"/>
      <c r="D9" s="29"/>
      <c r="E9" s="29"/>
      <c r="F9" s="29" t="s">
        <v>74</v>
      </c>
      <c r="G9" s="29" t="s">
        <v>75</v>
      </c>
      <c r="H9" s="29" t="s">
        <v>76</v>
      </c>
    </row>
    <row r="10" spans="1:15" ht="46.5" x14ac:dyDescent="0.35">
      <c r="A10" s="29"/>
      <c r="B10" s="15" t="s">
        <v>313</v>
      </c>
      <c r="C10" s="15" t="s">
        <v>314</v>
      </c>
      <c r="D10" s="15" t="s">
        <v>315</v>
      </c>
      <c r="E10" s="15" t="s">
        <v>316</v>
      </c>
      <c r="F10" s="29"/>
      <c r="G10" s="29"/>
      <c r="H10" s="29"/>
    </row>
    <row r="11" spans="1:15" x14ac:dyDescent="0.35">
      <c r="A11" s="16" t="s">
        <v>317</v>
      </c>
      <c r="B11" s="13" t="s">
        <v>318</v>
      </c>
      <c r="C11" s="13" t="s">
        <v>319</v>
      </c>
      <c r="D11" s="13" t="s">
        <v>320</v>
      </c>
      <c r="E11" s="13" t="s">
        <v>311</v>
      </c>
      <c r="F11" s="13" t="s">
        <v>321</v>
      </c>
      <c r="G11" s="13" t="s">
        <v>322</v>
      </c>
      <c r="H11" s="17" t="s">
        <v>5</v>
      </c>
    </row>
    <row r="12" spans="1:15" ht="46.5" x14ac:dyDescent="0.35">
      <c r="A12" s="16" t="s">
        <v>323</v>
      </c>
      <c r="B12" s="13" t="s">
        <v>324</v>
      </c>
      <c r="C12" s="13" t="s">
        <v>325</v>
      </c>
      <c r="D12" s="13" t="s">
        <v>326</v>
      </c>
      <c r="E12" s="13" t="s">
        <v>302</v>
      </c>
      <c r="F12" s="13" t="s">
        <v>327</v>
      </c>
      <c r="G12" s="13" t="s">
        <v>201</v>
      </c>
      <c r="H12" s="17" t="s">
        <v>5</v>
      </c>
    </row>
    <row r="13" spans="1:15" x14ac:dyDescent="0.35">
      <c r="A13" s="16" t="s">
        <v>328</v>
      </c>
      <c r="B13" s="13" t="s">
        <v>324</v>
      </c>
      <c r="C13" s="13" t="s">
        <v>329</v>
      </c>
      <c r="D13" s="13" t="s">
        <v>330</v>
      </c>
      <c r="E13" s="13" t="s">
        <v>306</v>
      </c>
      <c r="F13" s="13" t="s">
        <v>322</v>
      </c>
      <c r="G13" s="13" t="s">
        <v>322</v>
      </c>
      <c r="H13" s="17" t="s">
        <v>5</v>
      </c>
    </row>
    <row r="14" spans="1:15" x14ac:dyDescent="0.35">
      <c r="A14" s="16" t="s">
        <v>331</v>
      </c>
      <c r="B14" s="13" t="s">
        <v>324</v>
      </c>
      <c r="C14" s="13" t="s">
        <v>332</v>
      </c>
      <c r="D14" s="13" t="s">
        <v>333</v>
      </c>
      <c r="E14" s="13" t="s">
        <v>310</v>
      </c>
      <c r="F14" s="13" t="s">
        <v>322</v>
      </c>
      <c r="G14" s="13" t="s">
        <v>322</v>
      </c>
      <c r="H14" s="17" t="s">
        <v>5</v>
      </c>
    </row>
    <row r="15" spans="1:15" ht="46.5" x14ac:dyDescent="0.35">
      <c r="A15" s="16" t="s">
        <v>334</v>
      </c>
      <c r="B15" s="13" t="s">
        <v>324</v>
      </c>
      <c r="C15" s="13" t="s">
        <v>335</v>
      </c>
      <c r="D15" s="13" t="s">
        <v>336</v>
      </c>
      <c r="E15" s="13" t="s">
        <v>302</v>
      </c>
      <c r="F15" s="13" t="s">
        <v>337</v>
      </c>
      <c r="G15" s="13" t="s">
        <v>201</v>
      </c>
      <c r="H15" s="17" t="s">
        <v>5</v>
      </c>
    </row>
    <row r="16" spans="1:15" x14ac:dyDescent="0.35">
      <c r="A16" s="16" t="s">
        <v>338</v>
      </c>
      <c r="B16" s="13" t="s">
        <v>324</v>
      </c>
      <c r="C16" s="13" t="s">
        <v>339</v>
      </c>
      <c r="D16" s="13" t="s">
        <v>340</v>
      </c>
      <c r="E16" s="13" t="s">
        <v>306</v>
      </c>
      <c r="F16" s="13" t="s">
        <v>322</v>
      </c>
      <c r="G16" s="13" t="s">
        <v>322</v>
      </c>
      <c r="H16" s="17" t="s">
        <v>5</v>
      </c>
    </row>
    <row r="17" spans="1:8" x14ac:dyDescent="0.35">
      <c r="A17" s="16" t="s">
        <v>341</v>
      </c>
      <c r="B17" s="13" t="s">
        <v>324</v>
      </c>
      <c r="C17" s="13" t="s">
        <v>342</v>
      </c>
      <c r="D17" s="13" t="s">
        <v>343</v>
      </c>
      <c r="E17" s="13" t="s">
        <v>310</v>
      </c>
      <c r="F17" s="13" t="s">
        <v>322</v>
      </c>
      <c r="G17" s="13" t="s">
        <v>322</v>
      </c>
      <c r="H17" s="17" t="s">
        <v>5</v>
      </c>
    </row>
    <row r="18" spans="1:8" ht="46.5" x14ac:dyDescent="0.35">
      <c r="A18" s="16" t="s">
        <v>344</v>
      </c>
      <c r="B18" s="13" t="s">
        <v>345</v>
      </c>
      <c r="C18" s="13" t="s">
        <v>346</v>
      </c>
      <c r="D18" s="13" t="s">
        <v>263</v>
      </c>
      <c r="E18" s="13" t="s">
        <v>303</v>
      </c>
      <c r="F18" s="13" t="s">
        <v>347</v>
      </c>
      <c r="G18" s="13" t="s">
        <v>201</v>
      </c>
      <c r="H18" s="17" t="s">
        <v>5</v>
      </c>
    </row>
    <row r="19" spans="1:8" x14ac:dyDescent="0.35">
      <c r="A19" s="16" t="s">
        <v>348</v>
      </c>
      <c r="B19" s="13" t="s">
        <v>345</v>
      </c>
      <c r="C19" s="13" t="s">
        <v>349</v>
      </c>
      <c r="D19" s="13" t="s">
        <v>266</v>
      </c>
      <c r="E19" s="13" t="s">
        <v>307</v>
      </c>
      <c r="F19" s="13" t="s">
        <v>322</v>
      </c>
      <c r="G19" s="13" t="s">
        <v>322</v>
      </c>
      <c r="H19" s="17" t="s">
        <v>5</v>
      </c>
    </row>
    <row r="20" spans="1:8" x14ac:dyDescent="0.35">
      <c r="A20" s="16" t="s">
        <v>350</v>
      </c>
      <c r="B20" s="13" t="s">
        <v>345</v>
      </c>
      <c r="C20" s="13" t="s">
        <v>351</v>
      </c>
      <c r="D20" s="13" t="s">
        <v>269</v>
      </c>
      <c r="E20" s="13" t="s">
        <v>86</v>
      </c>
      <c r="F20" s="13" t="s">
        <v>322</v>
      </c>
      <c r="G20" s="13" t="s">
        <v>322</v>
      </c>
      <c r="H20" s="17" t="s">
        <v>5</v>
      </c>
    </row>
    <row r="21" spans="1:8" ht="46.5" x14ac:dyDescent="0.35">
      <c r="A21" s="16" t="s">
        <v>352</v>
      </c>
      <c r="B21" s="13" t="s">
        <v>345</v>
      </c>
      <c r="C21" s="13" t="s">
        <v>353</v>
      </c>
      <c r="D21" s="13" t="s">
        <v>354</v>
      </c>
      <c r="E21" s="13" t="s">
        <v>303</v>
      </c>
      <c r="F21" s="13" t="s">
        <v>347</v>
      </c>
      <c r="G21" s="13" t="s">
        <v>201</v>
      </c>
      <c r="H21" s="17" t="s">
        <v>5</v>
      </c>
    </row>
    <row r="22" spans="1:8" x14ac:dyDescent="0.35">
      <c r="A22" s="16" t="s">
        <v>355</v>
      </c>
      <c r="B22" s="13" t="s">
        <v>345</v>
      </c>
      <c r="C22" s="13" t="s">
        <v>356</v>
      </c>
      <c r="D22" s="13" t="s">
        <v>357</v>
      </c>
      <c r="E22" s="13" t="s">
        <v>307</v>
      </c>
      <c r="F22" s="13" t="s">
        <v>322</v>
      </c>
      <c r="G22" s="13" t="s">
        <v>322</v>
      </c>
      <c r="H22" s="17" t="s">
        <v>5</v>
      </c>
    </row>
    <row r="23" spans="1:8" x14ac:dyDescent="0.35">
      <c r="A23" s="16" t="s">
        <v>358</v>
      </c>
      <c r="B23" s="13" t="s">
        <v>345</v>
      </c>
      <c r="C23" s="13" t="s">
        <v>359</v>
      </c>
      <c r="D23" s="13" t="s">
        <v>360</v>
      </c>
      <c r="E23" s="13" t="s">
        <v>86</v>
      </c>
      <c r="F23" s="13" t="s">
        <v>322</v>
      </c>
      <c r="G23" s="13" t="s">
        <v>322</v>
      </c>
      <c r="H23" s="17" t="s">
        <v>5</v>
      </c>
    </row>
  </sheetData>
  <mergeCells count="11">
    <mergeCell ref="A9:A10"/>
    <mergeCell ref="B9:E9"/>
    <mergeCell ref="F9:F10"/>
    <mergeCell ref="G9:G10"/>
    <mergeCell ref="H9:H10"/>
    <mergeCell ref="B7:H7"/>
    <mergeCell ref="A1:H1"/>
    <mergeCell ref="B3:F3"/>
    <mergeCell ref="B4:F4"/>
    <mergeCell ref="B5:F5"/>
    <mergeCell ref="B6:H6"/>
  </mergeCells>
  <conditionalFormatting sqref="H11:H23">
    <cfRule type="cellIs" dxfId="98" priority="1" operator="equal">
      <formula>"Pass"</formula>
    </cfRule>
    <cfRule type="cellIs" dxfId="97" priority="2" operator="equal">
      <formula>"Fail"</formula>
    </cfRule>
    <cfRule type="cellIs" dxfId="96" priority="3" operator="equal">
      <formula>"Block"</formula>
    </cfRule>
  </conditionalFormatting>
  <dataValidations count="1">
    <dataValidation type="list" allowBlank="1" sqref="H11:H23" xr:uid="{97BEFB05-6DEC-4720-9336-386699D99661}">
      <formula1>"Pass,Fail,No run,Block"</formula1>
      <formula2>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1D1B-CC58-4688-BF52-64335E77E312}">
  <dimension ref="A1:K45"/>
  <sheetViews>
    <sheetView workbookViewId="0">
      <selection activeCell="J40" sqref="J40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6" width="14.875" style="8" customWidth="1"/>
    <col min="7" max="7" width="38.5" style="8" customWidth="1"/>
    <col min="8" max="8" width="15.75" style="8" customWidth="1"/>
    <col min="9" max="9" width="14.875" style="8" customWidth="1"/>
    <col min="10" max="10" width="8.75" style="8" customWidth="1"/>
    <col min="11" max="11" width="14.5" style="8" customWidth="1"/>
    <col min="12" max="16384" width="7.625" style="8"/>
  </cols>
  <sheetData>
    <row r="1" spans="1:11" x14ac:dyDescent="0.35">
      <c r="A1" s="23" t="s">
        <v>361</v>
      </c>
    </row>
    <row r="2" spans="1:11" x14ac:dyDescent="0.35">
      <c r="A2" s="39" t="s">
        <v>362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5">
      <c r="A3" s="39" t="s">
        <v>363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5">
      <c r="A4" s="39" t="s">
        <v>364</v>
      </c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5">
      <c r="A6" s="18" t="s">
        <v>18</v>
      </c>
      <c r="B6" s="19" t="s">
        <v>126</v>
      </c>
      <c r="C6" s="19" t="s">
        <v>127</v>
      </c>
      <c r="D6" s="19" t="s">
        <v>128</v>
      </c>
      <c r="E6" s="19" t="s">
        <v>129</v>
      </c>
      <c r="F6" s="19" t="s">
        <v>130</v>
      </c>
      <c r="G6" s="19" t="s">
        <v>131</v>
      </c>
      <c r="H6" s="19" t="s">
        <v>132</v>
      </c>
      <c r="I6" s="19" t="s">
        <v>133</v>
      </c>
      <c r="J6" s="19" t="s">
        <v>365</v>
      </c>
      <c r="K6" s="19" t="s">
        <v>366</v>
      </c>
    </row>
    <row r="7" spans="1:11" x14ac:dyDescent="0.35">
      <c r="A7" s="13" t="s">
        <v>367</v>
      </c>
      <c r="B7" s="17" t="s">
        <v>93</v>
      </c>
      <c r="C7" s="17" t="s">
        <v>85</v>
      </c>
      <c r="D7" s="17" t="s">
        <v>368</v>
      </c>
      <c r="E7" s="17" t="s">
        <v>368</v>
      </c>
      <c r="F7" s="17" t="s">
        <v>368</v>
      </c>
      <c r="G7" s="17" t="s">
        <v>368</v>
      </c>
      <c r="H7" s="17" t="s">
        <v>368</v>
      </c>
      <c r="I7" s="17" t="s">
        <v>369</v>
      </c>
      <c r="J7" s="17" t="s">
        <v>369</v>
      </c>
      <c r="K7" s="17" t="s">
        <v>369</v>
      </c>
    </row>
    <row r="8" spans="1:11" x14ac:dyDescent="0.35">
      <c r="A8" s="13" t="s">
        <v>370</v>
      </c>
      <c r="B8" s="17" t="s">
        <v>85</v>
      </c>
      <c r="C8" s="17" t="s">
        <v>136</v>
      </c>
      <c r="D8" s="17" t="s">
        <v>135</v>
      </c>
      <c r="E8" s="17" t="s">
        <v>135</v>
      </c>
      <c r="F8" s="17" t="s">
        <v>135</v>
      </c>
      <c r="G8" s="17" t="s">
        <v>135</v>
      </c>
      <c r="H8" s="17" t="s">
        <v>135</v>
      </c>
      <c r="I8" s="17" t="s">
        <v>135</v>
      </c>
      <c r="J8" s="17" t="s">
        <v>135</v>
      </c>
      <c r="K8" s="17" t="s">
        <v>135</v>
      </c>
    </row>
    <row r="9" spans="1:11" x14ac:dyDescent="0.35">
      <c r="A9" s="13" t="s">
        <v>371</v>
      </c>
      <c r="B9" s="17" t="s">
        <v>85</v>
      </c>
      <c r="C9" s="17" t="s">
        <v>85</v>
      </c>
      <c r="D9" s="17" t="s">
        <v>136</v>
      </c>
      <c r="E9" s="17" t="s">
        <v>135</v>
      </c>
      <c r="F9" s="17" t="s">
        <v>135</v>
      </c>
      <c r="G9" s="17" t="s">
        <v>135</v>
      </c>
      <c r="H9" s="17" t="s">
        <v>135</v>
      </c>
      <c r="I9" s="17" t="s">
        <v>85</v>
      </c>
      <c r="J9" s="17" t="s">
        <v>85</v>
      </c>
      <c r="K9" s="17" t="s">
        <v>85</v>
      </c>
    </row>
    <row r="10" spans="1:11" x14ac:dyDescent="0.35">
      <c r="A10" s="13" t="s">
        <v>372</v>
      </c>
      <c r="B10" s="17" t="s">
        <v>85</v>
      </c>
      <c r="C10" s="17" t="s">
        <v>85</v>
      </c>
      <c r="D10" s="17" t="s">
        <v>85</v>
      </c>
      <c r="E10" s="17" t="s">
        <v>373</v>
      </c>
      <c r="F10" s="17" t="s">
        <v>374</v>
      </c>
      <c r="G10" s="17" t="s">
        <v>374</v>
      </c>
      <c r="H10" s="17" t="s">
        <v>374</v>
      </c>
      <c r="I10" s="17" t="s">
        <v>373</v>
      </c>
      <c r="J10" s="17" t="s">
        <v>85</v>
      </c>
      <c r="K10" s="17" t="s">
        <v>85</v>
      </c>
    </row>
    <row r="11" spans="1:11" x14ac:dyDescent="0.35">
      <c r="A11" s="13" t="s">
        <v>375</v>
      </c>
      <c r="B11" s="17" t="s">
        <v>85</v>
      </c>
      <c r="C11" s="17" t="s">
        <v>85</v>
      </c>
      <c r="D11" s="17" t="s">
        <v>85</v>
      </c>
      <c r="E11" s="17" t="s">
        <v>85</v>
      </c>
      <c r="F11" s="17" t="s">
        <v>376</v>
      </c>
      <c r="G11" s="17" t="s">
        <v>376</v>
      </c>
      <c r="H11" s="17" t="s">
        <v>377</v>
      </c>
      <c r="I11" s="17" t="s">
        <v>376</v>
      </c>
      <c r="J11" s="17" t="s">
        <v>378</v>
      </c>
      <c r="K11" s="17" t="s">
        <v>377</v>
      </c>
    </row>
    <row r="12" spans="1:11" x14ac:dyDescent="0.35">
      <c r="A12" s="13" t="s">
        <v>379</v>
      </c>
      <c r="B12" s="17" t="s">
        <v>85</v>
      </c>
      <c r="C12" s="17" t="s">
        <v>85</v>
      </c>
      <c r="D12" s="17" t="s">
        <v>85</v>
      </c>
      <c r="E12" s="17" t="s">
        <v>85</v>
      </c>
      <c r="F12" s="17" t="s">
        <v>136</v>
      </c>
      <c r="G12" s="17" t="s">
        <v>135</v>
      </c>
      <c r="H12" s="17" t="s">
        <v>85</v>
      </c>
      <c r="I12" s="17" t="s">
        <v>85</v>
      </c>
      <c r="J12" s="17" t="s">
        <v>85</v>
      </c>
      <c r="K12" s="17" t="s">
        <v>85</v>
      </c>
    </row>
    <row r="13" spans="1:11" x14ac:dyDescent="0.35">
      <c r="A13" s="18" t="s">
        <v>143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spans="1:11" x14ac:dyDescent="0.35">
      <c r="A14" s="13" t="s">
        <v>380</v>
      </c>
      <c r="B14" s="17" t="s">
        <v>145</v>
      </c>
      <c r="C14" s="17"/>
      <c r="D14" s="17"/>
      <c r="E14" s="17"/>
      <c r="F14" s="17"/>
      <c r="G14" s="17"/>
      <c r="H14" s="17"/>
      <c r="I14" s="17"/>
      <c r="J14" s="17"/>
      <c r="K14" s="17"/>
    </row>
    <row r="15" spans="1:11" x14ac:dyDescent="0.35">
      <c r="A15" s="13" t="s">
        <v>381</v>
      </c>
      <c r="B15" s="17"/>
      <c r="C15" s="17" t="s">
        <v>145</v>
      </c>
      <c r="D15" s="17"/>
      <c r="E15" s="17"/>
      <c r="F15" s="17"/>
      <c r="G15" s="17"/>
      <c r="H15" s="17"/>
      <c r="I15" s="17"/>
      <c r="J15" s="17"/>
      <c r="K15" s="17"/>
    </row>
    <row r="16" spans="1:11" x14ac:dyDescent="0.35">
      <c r="A16" s="13" t="s">
        <v>382</v>
      </c>
      <c r="B16" s="17"/>
      <c r="C16" s="17"/>
      <c r="D16" s="17" t="s">
        <v>145</v>
      </c>
      <c r="E16" s="17"/>
      <c r="F16" s="17"/>
      <c r="G16" s="17"/>
      <c r="H16" s="17"/>
      <c r="I16" s="17"/>
      <c r="J16" s="17"/>
      <c r="K16" s="17"/>
    </row>
    <row r="17" spans="1:11" ht="46.5" x14ac:dyDescent="0.35">
      <c r="A17" s="13" t="s">
        <v>383</v>
      </c>
      <c r="B17" s="17"/>
      <c r="C17" s="17"/>
      <c r="D17" s="17"/>
      <c r="E17" s="17" t="s">
        <v>145</v>
      </c>
      <c r="F17" s="17"/>
      <c r="G17" s="17"/>
      <c r="H17" s="17"/>
      <c r="I17" s="17"/>
      <c r="J17" s="17"/>
      <c r="K17" s="17"/>
    </row>
    <row r="18" spans="1:11" ht="46.5" x14ac:dyDescent="0.35">
      <c r="A18" s="13" t="s">
        <v>384</v>
      </c>
      <c r="B18" s="17"/>
      <c r="C18" s="17"/>
      <c r="D18" s="17"/>
      <c r="E18" s="17"/>
      <c r="F18" s="17"/>
      <c r="G18" s="17"/>
      <c r="H18" s="17" t="s">
        <v>145</v>
      </c>
      <c r="I18" s="17"/>
      <c r="J18" s="17"/>
      <c r="K18" s="17" t="s">
        <v>145</v>
      </c>
    </row>
    <row r="19" spans="1:11" ht="46.5" x14ac:dyDescent="0.35">
      <c r="A19" s="13" t="s">
        <v>385</v>
      </c>
      <c r="B19" s="17"/>
      <c r="C19" s="17"/>
      <c r="D19" s="17"/>
      <c r="E19" s="17"/>
      <c r="F19" s="17" t="s">
        <v>145</v>
      </c>
      <c r="G19" s="17" t="s">
        <v>145</v>
      </c>
      <c r="H19" s="17"/>
      <c r="I19" s="17" t="s">
        <v>145</v>
      </c>
      <c r="J19" s="17" t="s">
        <v>145</v>
      </c>
      <c r="K19" s="17"/>
    </row>
    <row r="20" spans="1:11" ht="46.5" x14ac:dyDescent="0.35">
      <c r="A20" s="13" t="s">
        <v>386</v>
      </c>
      <c r="B20" s="17"/>
      <c r="C20" s="17"/>
      <c r="D20" s="17"/>
      <c r="E20" s="17"/>
      <c r="F20" s="17"/>
      <c r="G20" s="17" t="s">
        <v>145</v>
      </c>
      <c r="H20" s="17"/>
      <c r="I20" s="17"/>
      <c r="J20" s="17"/>
      <c r="K20" s="17"/>
    </row>
    <row r="21" spans="1:11" x14ac:dyDescent="0.35">
      <c r="A21" s="13" t="s">
        <v>151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x14ac:dyDescent="0.35">
      <c r="A22" s="35" t="s">
        <v>387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4" spans="1:11" x14ac:dyDescent="0.35">
      <c r="A24" s="30" t="s">
        <v>57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6" spans="1:11" ht="46.5" x14ac:dyDescent="0.35">
      <c r="A26" s="12" t="s">
        <v>58</v>
      </c>
      <c r="B26" s="28" t="s">
        <v>388</v>
      </c>
      <c r="C26" s="28"/>
      <c r="D26" s="28"/>
      <c r="E26" s="28"/>
      <c r="F26" s="28"/>
      <c r="G26" s="28"/>
      <c r="H26" s="21"/>
      <c r="I26" s="21"/>
      <c r="J26" s="12" t="s">
        <v>60</v>
      </c>
      <c r="K26" s="14" t="s">
        <v>154</v>
      </c>
    </row>
    <row r="27" spans="1:11" ht="46.5" x14ac:dyDescent="0.35">
      <c r="A27" s="12" t="s">
        <v>61</v>
      </c>
      <c r="B27" s="28" t="s">
        <v>389</v>
      </c>
      <c r="C27" s="28"/>
      <c r="D27" s="28"/>
      <c r="E27" s="28"/>
      <c r="F27" s="28"/>
      <c r="G27" s="28"/>
      <c r="H27" s="21"/>
      <c r="I27" s="21"/>
      <c r="J27" s="12" t="s">
        <v>63</v>
      </c>
      <c r="K27" s="14" t="s">
        <v>156</v>
      </c>
    </row>
    <row r="28" spans="1:11" x14ac:dyDescent="0.35">
      <c r="A28" s="12" t="s">
        <v>64</v>
      </c>
      <c r="B28" s="28" t="s">
        <v>65</v>
      </c>
      <c r="C28" s="28"/>
      <c r="D28" s="28"/>
      <c r="E28" s="28"/>
      <c r="F28" s="28"/>
      <c r="G28" s="28"/>
      <c r="H28" s="21"/>
      <c r="I28" s="21"/>
      <c r="J28" s="12" t="s">
        <v>66</v>
      </c>
      <c r="K28" s="13" t="s">
        <v>67</v>
      </c>
    </row>
    <row r="29" spans="1:11" x14ac:dyDescent="0.35">
      <c r="A29" s="12" t="s">
        <v>68</v>
      </c>
      <c r="B29" s="28" t="s">
        <v>390</v>
      </c>
      <c r="C29" s="28"/>
      <c r="D29" s="28"/>
      <c r="E29" s="28"/>
      <c r="F29" s="28"/>
      <c r="G29" s="28"/>
      <c r="H29" s="28"/>
      <c r="I29" s="28"/>
      <c r="J29" s="28"/>
      <c r="K29" s="28"/>
    </row>
    <row r="30" spans="1:11" x14ac:dyDescent="0.35">
      <c r="A30" s="12" t="s">
        <v>70</v>
      </c>
      <c r="B30" s="28" t="s">
        <v>447</v>
      </c>
      <c r="C30" s="28"/>
      <c r="D30" s="28"/>
      <c r="E30" s="28"/>
      <c r="F30" s="28"/>
      <c r="G30" s="28"/>
      <c r="H30" s="28"/>
      <c r="I30" s="28"/>
      <c r="J30" s="28"/>
      <c r="K30" s="28"/>
    </row>
    <row r="32" spans="1:11" x14ac:dyDescent="0.35">
      <c r="A32" s="29" t="s">
        <v>159</v>
      </c>
      <c r="B32" s="29" t="s">
        <v>72</v>
      </c>
      <c r="C32" s="29" t="s">
        <v>73</v>
      </c>
      <c r="D32" s="29"/>
      <c r="E32" s="29"/>
      <c r="F32" s="29"/>
      <c r="G32" s="29" t="s">
        <v>74</v>
      </c>
      <c r="H32" s="29" t="s">
        <v>75</v>
      </c>
      <c r="I32" s="29" t="s">
        <v>76</v>
      </c>
    </row>
    <row r="33" spans="1:9" ht="46.5" x14ac:dyDescent="0.35">
      <c r="A33" s="29"/>
      <c r="B33" s="29"/>
      <c r="C33" s="15" t="s">
        <v>391</v>
      </c>
      <c r="D33" s="15" t="s">
        <v>77</v>
      </c>
      <c r="E33" s="15" t="s">
        <v>392</v>
      </c>
      <c r="F33" s="15" t="s">
        <v>393</v>
      </c>
      <c r="G33" s="29"/>
      <c r="H33" s="29"/>
      <c r="I33" s="29"/>
    </row>
    <row r="34" spans="1:9" ht="46.5" x14ac:dyDescent="0.35">
      <c r="A34" s="17" t="s">
        <v>162</v>
      </c>
      <c r="B34" s="16" t="s">
        <v>394</v>
      </c>
      <c r="C34" s="13" t="s">
        <v>395</v>
      </c>
      <c r="D34" s="13" t="s">
        <v>93</v>
      </c>
      <c r="E34" s="13" t="s">
        <v>396</v>
      </c>
      <c r="F34" s="13" t="s">
        <v>85</v>
      </c>
      <c r="G34" s="13" t="s">
        <v>96</v>
      </c>
      <c r="H34" s="13" t="s">
        <v>96</v>
      </c>
      <c r="I34" s="17" t="s">
        <v>5</v>
      </c>
    </row>
    <row r="35" spans="1:9" ht="46.5" x14ac:dyDescent="0.35">
      <c r="A35" s="17" t="s">
        <v>167</v>
      </c>
      <c r="B35" s="16" t="s">
        <v>397</v>
      </c>
      <c r="C35" s="13" t="s">
        <v>104</v>
      </c>
      <c r="D35" s="13" t="s">
        <v>84</v>
      </c>
      <c r="E35" s="13" t="s">
        <v>85</v>
      </c>
      <c r="F35" s="13" t="s">
        <v>85</v>
      </c>
      <c r="G35" s="13" t="s">
        <v>99</v>
      </c>
      <c r="H35" s="13" t="s">
        <v>99</v>
      </c>
      <c r="I35" s="17" t="s">
        <v>5</v>
      </c>
    </row>
    <row r="36" spans="1:9" ht="46.5" x14ac:dyDescent="0.35">
      <c r="A36" s="17" t="s">
        <v>171</v>
      </c>
      <c r="B36" s="16" t="s">
        <v>398</v>
      </c>
      <c r="C36" s="13" t="s">
        <v>395</v>
      </c>
      <c r="D36" s="13" t="s">
        <v>399</v>
      </c>
      <c r="E36" s="13" t="s">
        <v>396</v>
      </c>
      <c r="F36" s="13" t="s">
        <v>85</v>
      </c>
      <c r="G36" s="13" t="s">
        <v>400</v>
      </c>
      <c r="H36" s="13" t="s">
        <v>401</v>
      </c>
      <c r="I36" s="17" t="s">
        <v>5</v>
      </c>
    </row>
    <row r="37" spans="1:9" ht="69.75" x14ac:dyDescent="0.35">
      <c r="A37" s="17" t="s">
        <v>175</v>
      </c>
      <c r="B37" s="16" t="s">
        <v>402</v>
      </c>
      <c r="C37" s="13" t="s">
        <v>115</v>
      </c>
      <c r="D37" s="13" t="s">
        <v>84</v>
      </c>
      <c r="E37" s="13" t="s">
        <v>403</v>
      </c>
      <c r="F37" s="13" t="s">
        <v>85</v>
      </c>
      <c r="G37" s="13" t="s">
        <v>404</v>
      </c>
      <c r="H37" s="13" t="s">
        <v>102</v>
      </c>
      <c r="I37" s="17" t="s">
        <v>5</v>
      </c>
    </row>
    <row r="38" spans="1:9" ht="69.75" x14ac:dyDescent="0.35">
      <c r="A38" s="17" t="s">
        <v>183</v>
      </c>
      <c r="B38" s="16" t="s">
        <v>405</v>
      </c>
      <c r="C38" s="13" t="s">
        <v>406</v>
      </c>
      <c r="D38" s="13" t="s">
        <v>84</v>
      </c>
      <c r="E38" s="13" t="s">
        <v>407</v>
      </c>
      <c r="F38" s="13" t="s">
        <v>408</v>
      </c>
      <c r="G38" s="13" t="s">
        <v>409</v>
      </c>
      <c r="H38" s="13" t="s">
        <v>410</v>
      </c>
      <c r="I38" s="17" t="s">
        <v>5</v>
      </c>
    </row>
    <row r="39" spans="1:9" ht="93" x14ac:dyDescent="0.35">
      <c r="A39" s="17" t="s">
        <v>183</v>
      </c>
      <c r="B39" s="16" t="s">
        <v>411</v>
      </c>
      <c r="C39" s="13" t="s">
        <v>412</v>
      </c>
      <c r="D39" s="13" t="s">
        <v>84</v>
      </c>
      <c r="E39" s="13" t="s">
        <v>413</v>
      </c>
      <c r="F39" s="13" t="s">
        <v>414</v>
      </c>
      <c r="G39" s="13" t="s">
        <v>415</v>
      </c>
      <c r="H39" s="13" t="s">
        <v>410</v>
      </c>
      <c r="I39" s="17" t="s">
        <v>5</v>
      </c>
    </row>
    <row r="40" spans="1:9" ht="69.75" x14ac:dyDescent="0.35">
      <c r="A40" s="17" t="s">
        <v>188</v>
      </c>
      <c r="B40" s="16" t="s">
        <v>416</v>
      </c>
      <c r="C40" s="13" t="s">
        <v>302</v>
      </c>
      <c r="D40" s="13" t="s">
        <v>84</v>
      </c>
      <c r="E40" s="13" t="s">
        <v>396</v>
      </c>
      <c r="F40" s="13" t="s">
        <v>417</v>
      </c>
      <c r="G40" s="13" t="s">
        <v>418</v>
      </c>
      <c r="H40" s="13" t="s">
        <v>419</v>
      </c>
      <c r="I40" s="17" t="s">
        <v>5</v>
      </c>
    </row>
    <row r="41" spans="1:9" ht="69.75" x14ac:dyDescent="0.35">
      <c r="A41" s="17" t="s">
        <v>193</v>
      </c>
      <c r="B41" s="16" t="s">
        <v>420</v>
      </c>
      <c r="C41" s="13" t="s">
        <v>421</v>
      </c>
      <c r="D41" s="13" t="s">
        <v>84</v>
      </c>
      <c r="E41" s="13" t="s">
        <v>422</v>
      </c>
      <c r="F41" s="13" t="s">
        <v>85</v>
      </c>
      <c r="G41" s="13" t="s">
        <v>423</v>
      </c>
      <c r="H41" s="13" t="s">
        <v>102</v>
      </c>
      <c r="I41" s="17" t="s">
        <v>5</v>
      </c>
    </row>
    <row r="42" spans="1:9" ht="69.75" x14ac:dyDescent="0.35">
      <c r="A42" s="17" t="s">
        <v>197</v>
      </c>
      <c r="B42" s="16" t="s">
        <v>424</v>
      </c>
      <c r="C42" s="13" t="s">
        <v>306</v>
      </c>
      <c r="D42" s="13" t="s">
        <v>92</v>
      </c>
      <c r="E42" s="13" t="s">
        <v>403</v>
      </c>
      <c r="F42" s="13" t="s">
        <v>85</v>
      </c>
      <c r="G42" s="13" t="s">
        <v>425</v>
      </c>
      <c r="H42" s="13" t="s">
        <v>410</v>
      </c>
      <c r="I42" s="17" t="s">
        <v>5</v>
      </c>
    </row>
    <row r="43" spans="1:9" ht="46.5" x14ac:dyDescent="0.35">
      <c r="A43" s="17" t="s">
        <v>426</v>
      </c>
      <c r="B43" s="16" t="s">
        <v>427</v>
      </c>
      <c r="C43" s="13" t="s">
        <v>310</v>
      </c>
      <c r="D43" s="13" t="s">
        <v>428</v>
      </c>
      <c r="E43" s="13" t="s">
        <v>429</v>
      </c>
      <c r="F43" s="13" t="s">
        <v>85</v>
      </c>
      <c r="G43" s="13" t="s">
        <v>430</v>
      </c>
      <c r="H43" s="13" t="s">
        <v>410</v>
      </c>
      <c r="I43" s="17" t="s">
        <v>5</v>
      </c>
    </row>
    <row r="44" spans="1:9" ht="46.5" x14ac:dyDescent="0.35">
      <c r="A44" s="17" t="s">
        <v>431</v>
      </c>
      <c r="B44" s="16" t="s">
        <v>432</v>
      </c>
      <c r="C44" s="13" t="s">
        <v>433</v>
      </c>
      <c r="D44" s="13" t="s">
        <v>428</v>
      </c>
      <c r="E44" s="13" t="s">
        <v>434</v>
      </c>
      <c r="F44" s="13" t="s">
        <v>85</v>
      </c>
      <c r="G44" s="13" t="s">
        <v>435</v>
      </c>
      <c r="H44" s="13" t="s">
        <v>419</v>
      </c>
      <c r="I44" s="17" t="s">
        <v>5</v>
      </c>
    </row>
    <row r="45" spans="1:9" ht="46.5" x14ac:dyDescent="0.35">
      <c r="A45" s="17" t="s">
        <v>431</v>
      </c>
      <c r="B45" s="16" t="s">
        <v>436</v>
      </c>
      <c r="C45" s="13" t="s">
        <v>112</v>
      </c>
      <c r="D45" s="13" t="s">
        <v>92</v>
      </c>
      <c r="E45" s="13" t="s">
        <v>437</v>
      </c>
      <c r="F45" s="13" t="s">
        <v>85</v>
      </c>
      <c r="G45" s="13" t="s">
        <v>438</v>
      </c>
      <c r="H45" s="13" t="s">
        <v>419</v>
      </c>
      <c r="I45" s="17" t="s">
        <v>5</v>
      </c>
    </row>
  </sheetData>
  <mergeCells count="16">
    <mergeCell ref="B27:G27"/>
    <mergeCell ref="B28:G28"/>
    <mergeCell ref="B29:K29"/>
    <mergeCell ref="B30:K30"/>
    <mergeCell ref="A32:A33"/>
    <mergeCell ref="B32:B33"/>
    <mergeCell ref="C32:F32"/>
    <mergeCell ref="G32:G33"/>
    <mergeCell ref="H32:H33"/>
    <mergeCell ref="I32:I33"/>
    <mergeCell ref="B26:G26"/>
    <mergeCell ref="A2:K2"/>
    <mergeCell ref="A3:K3"/>
    <mergeCell ref="A4:K4"/>
    <mergeCell ref="A22:K22"/>
    <mergeCell ref="A24:K24"/>
  </mergeCells>
  <conditionalFormatting sqref="I34:I45">
    <cfRule type="cellIs" dxfId="95" priority="1" operator="equal">
      <formula>"Pass"</formula>
    </cfRule>
    <cfRule type="cellIs" dxfId="94" priority="2" operator="equal">
      <formula>"Fail"</formula>
    </cfRule>
    <cfRule type="cellIs" dxfId="93" priority="3" operator="equal">
      <formula>"Block"</formula>
    </cfRule>
  </conditionalFormatting>
  <dataValidations count="1">
    <dataValidation type="list" allowBlank="1" sqref="I34:I45" xr:uid="{37897F8D-8509-4E44-A037-2C3E7CBDC1C3}">
      <formula1>"Pass,Fail,No run,Block"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E6C2D-FAAF-4F4F-95E4-B1392AB3B0DD}">
  <dimension ref="A1:J15"/>
  <sheetViews>
    <sheetView workbookViewId="0">
      <selection activeCell="J9" sqref="J9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35" style="8" customWidth="1"/>
    <col min="5" max="5" width="19.125" style="8" customWidth="1"/>
    <col min="6" max="6" width="14.87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ht="23.25" customHeight="1" x14ac:dyDescent="0.35">
      <c r="A1" s="30" t="s">
        <v>57</v>
      </c>
      <c r="B1" s="30"/>
      <c r="C1" s="30"/>
      <c r="D1" s="30"/>
      <c r="E1" s="30"/>
      <c r="F1" s="30"/>
      <c r="I1" s="13"/>
      <c r="J1" s="15" t="s">
        <v>453</v>
      </c>
    </row>
    <row r="2" spans="1:10" ht="46.5" x14ac:dyDescent="0.35">
      <c r="I2" s="17" t="s">
        <v>454</v>
      </c>
      <c r="J2" s="17" t="s">
        <v>455</v>
      </c>
    </row>
    <row r="3" spans="1:10" ht="23.25" customHeight="1" x14ac:dyDescent="0.35">
      <c r="A3" s="12" t="s">
        <v>58</v>
      </c>
      <c r="B3" s="28" t="s">
        <v>456</v>
      </c>
      <c r="C3" s="28"/>
      <c r="D3" s="28"/>
      <c r="E3" s="12" t="s">
        <v>60</v>
      </c>
      <c r="F3" s="14" t="s">
        <v>154</v>
      </c>
      <c r="I3" s="17" t="s">
        <v>301</v>
      </c>
      <c r="J3" s="17" t="s">
        <v>457</v>
      </c>
    </row>
    <row r="4" spans="1:10" ht="23.25" customHeight="1" x14ac:dyDescent="0.35">
      <c r="A4" s="12" t="s">
        <v>61</v>
      </c>
      <c r="B4" s="28" t="s">
        <v>308</v>
      </c>
      <c r="C4" s="28"/>
      <c r="D4" s="28"/>
      <c r="E4" s="12" t="s">
        <v>63</v>
      </c>
      <c r="F4" s="14" t="s">
        <v>156</v>
      </c>
      <c r="I4" s="17" t="s">
        <v>305</v>
      </c>
      <c r="J4" s="17" t="s">
        <v>311</v>
      </c>
    </row>
    <row r="5" spans="1:10" ht="46.5" customHeight="1" x14ac:dyDescent="0.35">
      <c r="A5" s="12" t="s">
        <v>64</v>
      </c>
      <c r="B5" s="28" t="s">
        <v>65</v>
      </c>
      <c r="C5" s="28"/>
      <c r="D5" s="28"/>
      <c r="E5" s="12" t="s">
        <v>66</v>
      </c>
      <c r="F5" s="13" t="s">
        <v>67</v>
      </c>
      <c r="I5" s="17" t="s">
        <v>309</v>
      </c>
      <c r="J5" s="17" t="s">
        <v>458</v>
      </c>
    </row>
    <row r="6" spans="1:10" ht="46.5" customHeight="1" x14ac:dyDescent="0.35">
      <c r="A6" s="12" t="s">
        <v>68</v>
      </c>
      <c r="B6" s="28" t="s">
        <v>475</v>
      </c>
      <c r="C6" s="28"/>
      <c r="D6" s="28"/>
      <c r="E6" s="28"/>
      <c r="F6" s="28"/>
      <c r="I6" s="17" t="s">
        <v>233</v>
      </c>
      <c r="J6" s="17" t="s">
        <v>459</v>
      </c>
    </row>
    <row r="7" spans="1:10" ht="46.5" x14ac:dyDescent="0.35">
      <c r="A7" s="12" t="s">
        <v>70</v>
      </c>
      <c r="B7" s="28" t="s">
        <v>460</v>
      </c>
      <c r="C7" s="28"/>
      <c r="D7" s="28"/>
      <c r="E7" s="28"/>
      <c r="F7" s="28"/>
    </row>
    <row r="9" spans="1:10" ht="23.25" customHeight="1" x14ac:dyDescent="0.35">
      <c r="A9" s="29" t="s">
        <v>72</v>
      </c>
      <c r="B9" s="29" t="s">
        <v>73</v>
      </c>
      <c r="C9" s="29"/>
      <c r="D9" s="29" t="s">
        <v>74</v>
      </c>
      <c r="E9" s="29" t="s">
        <v>75</v>
      </c>
      <c r="F9" s="29" t="s">
        <v>76</v>
      </c>
    </row>
    <row r="10" spans="1:10" ht="46.5" x14ac:dyDescent="0.35">
      <c r="A10" s="29"/>
      <c r="B10" s="15" t="s">
        <v>461</v>
      </c>
      <c r="C10" s="15" t="s">
        <v>453</v>
      </c>
      <c r="D10" s="29"/>
      <c r="E10" s="29"/>
      <c r="F10" s="29"/>
    </row>
    <row r="11" spans="1:10" x14ac:dyDescent="0.35">
      <c r="A11" s="16" t="s">
        <v>462</v>
      </c>
      <c r="B11" s="13" t="s">
        <v>463</v>
      </c>
      <c r="C11" s="13" t="s">
        <v>459</v>
      </c>
      <c r="D11" s="13" t="s">
        <v>464</v>
      </c>
      <c r="E11" s="13" t="s">
        <v>410</v>
      </c>
      <c r="F11" s="17" t="s">
        <v>5</v>
      </c>
    </row>
    <row r="12" spans="1:10" ht="46.5" x14ac:dyDescent="0.35">
      <c r="A12" s="16" t="s">
        <v>465</v>
      </c>
      <c r="B12" s="13" t="s">
        <v>466</v>
      </c>
      <c r="C12" s="13" t="s">
        <v>457</v>
      </c>
      <c r="D12" s="13" t="s">
        <v>467</v>
      </c>
      <c r="E12" s="13" t="s">
        <v>102</v>
      </c>
      <c r="F12" s="17" t="s">
        <v>5</v>
      </c>
    </row>
    <row r="13" spans="1:10" x14ac:dyDescent="0.35">
      <c r="A13" s="16" t="s">
        <v>468</v>
      </c>
      <c r="B13" s="13" t="s">
        <v>469</v>
      </c>
      <c r="C13" s="13" t="s">
        <v>311</v>
      </c>
      <c r="D13" s="13" t="s">
        <v>464</v>
      </c>
      <c r="E13" s="13" t="s">
        <v>410</v>
      </c>
      <c r="F13" s="17" t="s">
        <v>5</v>
      </c>
    </row>
    <row r="14" spans="1:10" x14ac:dyDescent="0.35">
      <c r="A14" s="16" t="s">
        <v>470</v>
      </c>
      <c r="B14" s="13" t="s">
        <v>471</v>
      </c>
      <c r="C14" s="13" t="s">
        <v>458</v>
      </c>
      <c r="D14" s="13" t="s">
        <v>464</v>
      </c>
      <c r="E14" s="13" t="s">
        <v>410</v>
      </c>
      <c r="F14" s="17" t="s">
        <v>5</v>
      </c>
    </row>
    <row r="15" spans="1:10" ht="46.5" x14ac:dyDescent="0.35">
      <c r="A15" s="16" t="s">
        <v>472</v>
      </c>
      <c r="B15" s="13" t="s">
        <v>473</v>
      </c>
      <c r="C15" s="13" t="s">
        <v>455</v>
      </c>
      <c r="D15" s="13" t="s">
        <v>474</v>
      </c>
      <c r="E15" s="13" t="s">
        <v>102</v>
      </c>
      <c r="F15" s="17" t="s">
        <v>5</v>
      </c>
    </row>
  </sheetData>
  <mergeCells count="11">
    <mergeCell ref="B7:F7"/>
    <mergeCell ref="A9:A10"/>
    <mergeCell ref="B9:C9"/>
    <mergeCell ref="D9:D10"/>
    <mergeCell ref="E9:E10"/>
    <mergeCell ref="F9:F10"/>
    <mergeCell ref="A1:F1"/>
    <mergeCell ref="B3:D3"/>
    <mergeCell ref="B4:D4"/>
    <mergeCell ref="B5:D5"/>
    <mergeCell ref="B6:F6"/>
  </mergeCells>
  <conditionalFormatting sqref="F11:F15">
    <cfRule type="cellIs" dxfId="92" priority="1" operator="equal">
      <formula>"Pass"</formula>
    </cfRule>
    <cfRule type="cellIs" dxfId="91" priority="2" operator="equal">
      <formula>"Fail"</formula>
    </cfRule>
    <cfRule type="cellIs" dxfId="90" priority="3" operator="equal">
      <formula>"Block"</formula>
    </cfRule>
  </conditionalFormatting>
  <dataValidations count="1">
    <dataValidation type="list" allowBlank="1" sqref="F11:F15" xr:uid="{B997100C-6358-4183-8DB7-AB773A753CFE}">
      <formula1>"Pass,Fail,No run,Block"</formula1>
      <formula2>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E2F7-D700-4BB4-BE44-37A09A2ECC3D}">
  <dimension ref="A1:H32"/>
  <sheetViews>
    <sheetView workbookViewId="0">
      <selection activeCell="K18" sqref="K18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4" width="15.75" style="8" customWidth="1"/>
    <col min="5" max="5" width="35" style="8" customWidth="1"/>
    <col min="6" max="6" width="24.875" style="8" customWidth="1"/>
    <col min="7" max="7" width="14.875" style="8" customWidth="1"/>
    <col min="8" max="8" width="13.5" style="8" customWidth="1"/>
    <col min="9" max="16384" width="7.625" style="8"/>
  </cols>
  <sheetData>
    <row r="1" spans="1:8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</row>
    <row r="2" spans="1:8" x14ac:dyDescent="0.35">
      <c r="A2" s="13" t="s">
        <v>476</v>
      </c>
      <c r="B2" s="17" t="s">
        <v>135</v>
      </c>
      <c r="C2" s="17" t="s">
        <v>136</v>
      </c>
      <c r="D2" s="17" t="s">
        <v>136</v>
      </c>
      <c r="E2" s="17" t="s">
        <v>136</v>
      </c>
      <c r="F2" s="17" t="s">
        <v>136</v>
      </c>
      <c r="G2" s="17" t="s">
        <v>136</v>
      </c>
      <c r="H2" s="17" t="s">
        <v>136</v>
      </c>
    </row>
    <row r="3" spans="1:8" x14ac:dyDescent="0.35">
      <c r="A3" s="13" t="s">
        <v>370</v>
      </c>
      <c r="B3" s="17" t="s">
        <v>85</v>
      </c>
      <c r="C3" s="17" t="s">
        <v>136</v>
      </c>
      <c r="D3" s="17" t="s">
        <v>135</v>
      </c>
      <c r="E3" s="17" t="s">
        <v>135</v>
      </c>
      <c r="F3" s="17" t="s">
        <v>135</v>
      </c>
      <c r="G3" s="17" t="s">
        <v>135</v>
      </c>
      <c r="H3" s="17" t="s">
        <v>135</v>
      </c>
    </row>
    <row r="4" spans="1:8" x14ac:dyDescent="0.35">
      <c r="A4" s="13" t="s">
        <v>477</v>
      </c>
      <c r="B4" s="17" t="s">
        <v>85</v>
      </c>
      <c r="C4" s="17" t="s">
        <v>85</v>
      </c>
      <c r="D4" s="17" t="s">
        <v>135</v>
      </c>
      <c r="E4" s="17" t="s">
        <v>135</v>
      </c>
      <c r="F4" s="17" t="s">
        <v>136</v>
      </c>
      <c r="G4" s="17" t="s">
        <v>136</v>
      </c>
      <c r="H4" s="17" t="s">
        <v>136</v>
      </c>
    </row>
    <row r="5" spans="1:8" x14ac:dyDescent="0.35">
      <c r="A5" s="13" t="s">
        <v>478</v>
      </c>
      <c r="B5" s="17" t="s">
        <v>85</v>
      </c>
      <c r="C5" s="17" t="s">
        <v>85</v>
      </c>
      <c r="D5" s="17" t="s">
        <v>136</v>
      </c>
      <c r="E5" s="17" t="s">
        <v>136</v>
      </c>
      <c r="F5" s="17" t="s">
        <v>135</v>
      </c>
      <c r="G5" s="17" t="s">
        <v>135</v>
      </c>
      <c r="H5" s="17" t="s">
        <v>136</v>
      </c>
    </row>
    <row r="6" spans="1:8" ht="46.5" x14ac:dyDescent="0.35">
      <c r="A6" s="13" t="s">
        <v>479</v>
      </c>
      <c r="B6" s="17" t="s">
        <v>85</v>
      </c>
      <c r="C6" s="17" t="s">
        <v>85</v>
      </c>
      <c r="D6" s="17" t="s">
        <v>135</v>
      </c>
      <c r="E6" s="17" t="s">
        <v>136</v>
      </c>
      <c r="F6" s="17" t="s">
        <v>135</v>
      </c>
      <c r="G6" s="17" t="s">
        <v>136</v>
      </c>
      <c r="H6" s="17" t="s">
        <v>85</v>
      </c>
    </row>
    <row r="7" spans="1:8" x14ac:dyDescent="0.35">
      <c r="A7" s="18" t="s">
        <v>143</v>
      </c>
      <c r="B7" s="20"/>
      <c r="C7" s="20"/>
      <c r="D7" s="20"/>
      <c r="E7" s="20"/>
      <c r="F7" s="20"/>
      <c r="G7" s="20"/>
      <c r="H7" s="20"/>
    </row>
    <row r="8" spans="1:8" x14ac:dyDescent="0.35">
      <c r="A8" s="13" t="s">
        <v>380</v>
      </c>
      <c r="B8" s="17" t="s">
        <v>145</v>
      </c>
      <c r="C8" s="17"/>
      <c r="D8" s="17"/>
      <c r="E8" s="17"/>
      <c r="F8" s="17"/>
      <c r="G8" s="17"/>
      <c r="H8" s="17"/>
    </row>
    <row r="9" spans="1:8" x14ac:dyDescent="0.35">
      <c r="A9" s="13" t="s">
        <v>381</v>
      </c>
      <c r="B9" s="17"/>
      <c r="C9" s="17" t="s">
        <v>145</v>
      </c>
      <c r="D9" s="17"/>
      <c r="E9" s="17"/>
      <c r="F9" s="17"/>
      <c r="G9" s="17"/>
      <c r="H9" s="17"/>
    </row>
    <row r="10" spans="1:8" x14ac:dyDescent="0.35">
      <c r="A10" s="13" t="s">
        <v>382</v>
      </c>
      <c r="B10" s="17"/>
      <c r="C10" s="17"/>
      <c r="D10" s="17"/>
      <c r="E10" s="17" t="s">
        <v>145</v>
      </c>
      <c r="F10" s="17"/>
      <c r="G10" s="17" t="s">
        <v>145</v>
      </c>
      <c r="H10" s="17"/>
    </row>
    <row r="11" spans="1:8" x14ac:dyDescent="0.35">
      <c r="A11" s="13" t="s">
        <v>480</v>
      </c>
      <c r="B11" s="17"/>
      <c r="C11" s="17"/>
      <c r="D11" s="17" t="s">
        <v>145</v>
      </c>
      <c r="E11" s="17"/>
      <c r="F11" s="17" t="s">
        <v>145</v>
      </c>
      <c r="G11" s="17"/>
      <c r="H11" s="17" t="s">
        <v>145</v>
      </c>
    </row>
    <row r="12" spans="1:8" x14ac:dyDescent="0.35">
      <c r="A12" s="13" t="s">
        <v>151</v>
      </c>
      <c r="B12" s="17"/>
      <c r="C12" s="17"/>
      <c r="D12" s="17"/>
      <c r="E12" s="17"/>
      <c r="F12" s="17"/>
      <c r="G12" s="17"/>
      <c r="H12" s="17"/>
    </row>
    <row r="13" spans="1:8" x14ac:dyDescent="0.35">
      <c r="A13" s="35" t="s">
        <v>481</v>
      </c>
      <c r="B13" s="35"/>
      <c r="C13" s="35"/>
      <c r="D13" s="35"/>
      <c r="E13" s="35"/>
      <c r="F13" s="35"/>
      <c r="G13" s="35"/>
      <c r="H13" s="35"/>
    </row>
    <row r="15" spans="1:8" x14ac:dyDescent="0.35">
      <c r="A15" s="30" t="s">
        <v>57</v>
      </c>
      <c r="B15" s="30"/>
      <c r="C15" s="30"/>
      <c r="D15" s="30"/>
      <c r="E15" s="30"/>
      <c r="F15" s="30"/>
      <c r="G15" s="30"/>
      <c r="H15" s="30"/>
    </row>
    <row r="17" spans="1:8" x14ac:dyDescent="0.35">
      <c r="A17" s="12" t="s">
        <v>58</v>
      </c>
      <c r="B17" s="28" t="s">
        <v>482</v>
      </c>
      <c r="C17" s="28"/>
      <c r="D17" s="28"/>
      <c r="E17" s="28"/>
      <c r="F17" s="21"/>
      <c r="G17" s="12" t="s">
        <v>60</v>
      </c>
      <c r="H17" s="14" t="s">
        <v>154</v>
      </c>
    </row>
    <row r="18" spans="1:8" x14ac:dyDescent="0.35">
      <c r="A18" s="12" t="s">
        <v>61</v>
      </c>
      <c r="B18" s="28" t="s">
        <v>155</v>
      </c>
      <c r="C18" s="28"/>
      <c r="D18" s="28"/>
      <c r="E18" s="28"/>
      <c r="F18" s="21"/>
      <c r="G18" s="12" t="s">
        <v>63</v>
      </c>
      <c r="H18" s="14" t="s">
        <v>156</v>
      </c>
    </row>
    <row r="19" spans="1:8" ht="46.5" customHeight="1" x14ac:dyDescent="0.35">
      <c r="A19" s="12" t="s">
        <v>64</v>
      </c>
      <c r="B19" s="28" t="s">
        <v>65</v>
      </c>
      <c r="C19" s="28"/>
      <c r="D19" s="28"/>
      <c r="E19" s="28"/>
      <c r="F19" s="21"/>
      <c r="G19" s="12" t="s">
        <v>66</v>
      </c>
      <c r="H19" s="13" t="s">
        <v>67</v>
      </c>
    </row>
    <row r="20" spans="1:8" x14ac:dyDescent="0.35">
      <c r="A20" s="12" t="s">
        <v>68</v>
      </c>
      <c r="B20" s="28" t="s">
        <v>483</v>
      </c>
      <c r="C20" s="28"/>
      <c r="D20" s="28"/>
      <c r="E20" s="28"/>
      <c r="F20" s="28"/>
      <c r="G20" s="28"/>
      <c r="H20" s="28"/>
    </row>
    <row r="21" spans="1:8" x14ac:dyDescent="0.35">
      <c r="A21" s="12" t="s">
        <v>70</v>
      </c>
      <c r="B21" s="28" t="s">
        <v>484</v>
      </c>
      <c r="C21" s="28"/>
      <c r="D21" s="28"/>
      <c r="E21" s="28"/>
      <c r="F21" s="28"/>
      <c r="G21" s="28"/>
      <c r="H21" s="28"/>
    </row>
    <row r="23" spans="1:8" x14ac:dyDescent="0.35">
      <c r="A23" s="29" t="s">
        <v>159</v>
      </c>
      <c r="B23" s="29" t="s">
        <v>72</v>
      </c>
      <c r="C23" s="29" t="s">
        <v>73</v>
      </c>
      <c r="D23" s="29"/>
      <c r="E23" s="29" t="s">
        <v>74</v>
      </c>
      <c r="F23" s="29" t="s">
        <v>75</v>
      </c>
      <c r="G23" s="29" t="s">
        <v>76</v>
      </c>
    </row>
    <row r="24" spans="1:8" x14ac:dyDescent="0.35">
      <c r="A24" s="29"/>
      <c r="B24" s="29"/>
      <c r="C24" s="15" t="s">
        <v>485</v>
      </c>
      <c r="D24" s="15" t="s">
        <v>77</v>
      </c>
      <c r="E24" s="29"/>
      <c r="F24" s="29"/>
      <c r="G24" s="29"/>
    </row>
    <row r="25" spans="1:8" x14ac:dyDescent="0.35">
      <c r="A25" s="17" t="s">
        <v>162</v>
      </c>
      <c r="B25" s="16" t="s">
        <v>486</v>
      </c>
      <c r="C25" s="13" t="s">
        <v>395</v>
      </c>
      <c r="D25" s="13" t="s">
        <v>93</v>
      </c>
      <c r="E25" s="13" t="s">
        <v>96</v>
      </c>
      <c r="F25" s="13" t="s">
        <v>96</v>
      </c>
      <c r="G25" s="17" t="s">
        <v>5</v>
      </c>
    </row>
    <row r="26" spans="1:8" x14ac:dyDescent="0.35">
      <c r="A26" s="17" t="s">
        <v>167</v>
      </c>
      <c r="B26" s="16" t="s">
        <v>487</v>
      </c>
      <c r="C26" s="13" t="s">
        <v>104</v>
      </c>
      <c r="D26" s="13" t="s">
        <v>84</v>
      </c>
      <c r="E26" s="13" t="s">
        <v>99</v>
      </c>
      <c r="F26" s="13" t="s">
        <v>99</v>
      </c>
      <c r="G26" s="17" t="s">
        <v>5</v>
      </c>
    </row>
    <row r="27" spans="1:8" x14ac:dyDescent="0.35">
      <c r="A27" s="17" t="s">
        <v>171</v>
      </c>
      <c r="B27" s="16" t="s">
        <v>488</v>
      </c>
      <c r="C27" s="13" t="s">
        <v>395</v>
      </c>
      <c r="D27" s="13" t="s">
        <v>84</v>
      </c>
      <c r="E27" s="13" t="s">
        <v>489</v>
      </c>
      <c r="F27" s="13" t="s">
        <v>489</v>
      </c>
      <c r="G27" s="17" t="s">
        <v>5</v>
      </c>
    </row>
    <row r="28" spans="1:8" x14ac:dyDescent="0.35">
      <c r="A28" s="17" t="s">
        <v>175</v>
      </c>
      <c r="B28" s="16" t="s">
        <v>490</v>
      </c>
      <c r="C28" s="13" t="s">
        <v>395</v>
      </c>
      <c r="D28" s="13" t="s">
        <v>399</v>
      </c>
      <c r="E28" s="13" t="s">
        <v>401</v>
      </c>
      <c r="F28" s="13" t="s">
        <v>401</v>
      </c>
      <c r="G28" s="17" t="s">
        <v>5</v>
      </c>
    </row>
    <row r="29" spans="1:8" x14ac:dyDescent="0.35">
      <c r="A29" s="17" t="s">
        <v>183</v>
      </c>
      <c r="B29" s="16" t="s">
        <v>491</v>
      </c>
      <c r="C29" s="13" t="s">
        <v>395</v>
      </c>
      <c r="D29" s="13" t="s">
        <v>492</v>
      </c>
      <c r="E29" s="13" t="s">
        <v>489</v>
      </c>
      <c r="F29" s="13" t="s">
        <v>489</v>
      </c>
      <c r="G29" s="17" t="s">
        <v>5</v>
      </c>
    </row>
    <row r="30" spans="1:8" x14ac:dyDescent="0.35">
      <c r="A30" s="17" t="s">
        <v>188</v>
      </c>
      <c r="B30" s="16" t="s">
        <v>493</v>
      </c>
      <c r="C30" s="13" t="s">
        <v>395</v>
      </c>
      <c r="D30" s="13" t="s">
        <v>494</v>
      </c>
      <c r="E30" s="13" t="s">
        <v>401</v>
      </c>
      <c r="F30" s="13" t="s">
        <v>401</v>
      </c>
      <c r="G30" s="17" t="s">
        <v>5</v>
      </c>
    </row>
    <row r="31" spans="1:8" ht="46.5" x14ac:dyDescent="0.35">
      <c r="A31" s="17" t="s">
        <v>188</v>
      </c>
      <c r="B31" s="16" t="s">
        <v>495</v>
      </c>
      <c r="C31" s="13" t="s">
        <v>496</v>
      </c>
      <c r="D31" s="13" t="s">
        <v>492</v>
      </c>
      <c r="E31" s="13" t="s">
        <v>497</v>
      </c>
      <c r="F31" s="13" t="s">
        <v>401</v>
      </c>
      <c r="G31" s="17" t="s">
        <v>5</v>
      </c>
    </row>
    <row r="32" spans="1:8" ht="46.5" x14ac:dyDescent="0.35">
      <c r="A32" s="17" t="s">
        <v>193</v>
      </c>
      <c r="B32" s="16" t="s">
        <v>498</v>
      </c>
      <c r="C32" s="13" t="s">
        <v>395</v>
      </c>
      <c r="D32" s="13" t="s">
        <v>92</v>
      </c>
      <c r="E32" s="13" t="s">
        <v>489</v>
      </c>
      <c r="F32" s="13" t="s">
        <v>489</v>
      </c>
      <c r="G32" s="17" t="s">
        <v>5</v>
      </c>
    </row>
  </sheetData>
  <mergeCells count="13">
    <mergeCell ref="B21:H21"/>
    <mergeCell ref="A23:A24"/>
    <mergeCell ref="B23:B24"/>
    <mergeCell ref="C23:D23"/>
    <mergeCell ref="E23:E24"/>
    <mergeCell ref="F23:F24"/>
    <mergeCell ref="G23:G24"/>
    <mergeCell ref="B20:H20"/>
    <mergeCell ref="A13:H13"/>
    <mergeCell ref="A15:H15"/>
    <mergeCell ref="B17:E17"/>
    <mergeCell ref="B18:E18"/>
    <mergeCell ref="B19:E19"/>
  </mergeCells>
  <conditionalFormatting sqref="G25:G32">
    <cfRule type="cellIs" dxfId="89" priority="1" operator="equal">
      <formula>"Pass"</formula>
    </cfRule>
    <cfRule type="cellIs" dxfId="88" priority="2" operator="equal">
      <formula>"Fail"</formula>
    </cfRule>
    <cfRule type="cellIs" dxfId="87" priority="3" operator="equal">
      <formula>"Block"</formula>
    </cfRule>
  </conditionalFormatting>
  <dataValidations count="1">
    <dataValidation type="list" allowBlank="1" sqref="G25:G32" xr:uid="{E98D2D74-E4CF-484E-BE4C-28913FCD8F1E}">
      <formula1>"Pass,Fail,No run,Block"</formula1>
      <formula2>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52D17-A703-459F-BB53-0885052339A1}">
  <dimension ref="A1:H74"/>
  <sheetViews>
    <sheetView topLeftCell="A66" workbookViewId="0">
      <selection activeCell="J74" sqref="J74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40.25" style="8" customWidth="1"/>
    <col min="7" max="7" width="15.75" style="8" customWidth="1"/>
    <col min="8" max="8" width="14.875" style="8" customWidth="1"/>
    <col min="9" max="16384" width="7.625" style="8"/>
  </cols>
  <sheetData>
    <row r="1" spans="1:8" x14ac:dyDescent="0.35">
      <c r="A1" s="23" t="s">
        <v>361</v>
      </c>
    </row>
    <row r="2" spans="1:8" ht="22.5" customHeight="1" x14ac:dyDescent="0.35">
      <c r="A2" s="39" t="s">
        <v>499</v>
      </c>
      <c r="B2" s="39"/>
      <c r="C2" s="39"/>
      <c r="D2" s="39"/>
      <c r="E2" s="39"/>
      <c r="F2" s="39"/>
      <c r="G2" s="39"/>
      <c r="H2" s="39"/>
    </row>
    <row r="3" spans="1:8" ht="22.5" customHeight="1" x14ac:dyDescent="0.35">
      <c r="A3" s="39" t="s">
        <v>500</v>
      </c>
      <c r="B3" s="39"/>
      <c r="C3" s="39"/>
      <c r="D3" s="39"/>
      <c r="E3" s="39"/>
      <c r="F3" s="39"/>
      <c r="G3" s="39"/>
      <c r="H3" s="39"/>
    </row>
    <row r="4" spans="1:8" ht="22.5" customHeight="1" x14ac:dyDescent="0.35">
      <c r="A4" s="39" t="s">
        <v>501</v>
      </c>
      <c r="B4" s="39"/>
      <c r="C4" s="39"/>
      <c r="D4" s="39"/>
      <c r="E4" s="39"/>
      <c r="F4" s="39"/>
      <c r="G4" s="39"/>
      <c r="H4" s="39"/>
    </row>
    <row r="6" spans="1:8" x14ac:dyDescent="0.35">
      <c r="A6" s="18" t="s">
        <v>18</v>
      </c>
      <c r="B6" s="19" t="s">
        <v>126</v>
      </c>
      <c r="C6" s="19" t="s">
        <v>127</v>
      </c>
      <c r="D6" s="19" t="s">
        <v>128</v>
      </c>
      <c r="E6" s="19" t="s">
        <v>129</v>
      </c>
      <c r="F6" s="19" t="s">
        <v>130</v>
      </c>
      <c r="G6" s="19" t="s">
        <v>131</v>
      </c>
      <c r="H6" s="19" t="s">
        <v>132</v>
      </c>
    </row>
    <row r="7" spans="1:8" ht="22.5" customHeight="1" x14ac:dyDescent="0.35">
      <c r="A7" s="13" t="s">
        <v>502</v>
      </c>
      <c r="B7" s="17" t="s">
        <v>503</v>
      </c>
      <c r="C7" s="17" t="s">
        <v>504</v>
      </c>
      <c r="D7" s="17" t="s">
        <v>505</v>
      </c>
      <c r="E7" s="17" t="s">
        <v>506</v>
      </c>
      <c r="F7" s="17" t="s">
        <v>419</v>
      </c>
      <c r="G7" s="17" t="s">
        <v>410</v>
      </c>
      <c r="H7" s="17" t="s">
        <v>507</v>
      </c>
    </row>
    <row r="8" spans="1:8" ht="22.5" customHeight="1" x14ac:dyDescent="0.35">
      <c r="A8" s="13" t="s">
        <v>508</v>
      </c>
      <c r="B8" s="17" t="s">
        <v>509</v>
      </c>
      <c r="C8" s="17" t="s">
        <v>510</v>
      </c>
      <c r="D8" s="17" t="s">
        <v>510</v>
      </c>
      <c r="E8" s="17" t="s">
        <v>510</v>
      </c>
      <c r="F8" s="17" t="s">
        <v>510</v>
      </c>
      <c r="G8" s="17" t="s">
        <v>510</v>
      </c>
      <c r="H8" s="17" t="s">
        <v>510</v>
      </c>
    </row>
    <row r="9" spans="1:8" ht="22.5" customHeight="1" x14ac:dyDescent="0.35">
      <c r="A9" s="13" t="s">
        <v>511</v>
      </c>
      <c r="B9" s="17" t="s">
        <v>510</v>
      </c>
      <c r="C9" s="17" t="s">
        <v>512</v>
      </c>
      <c r="D9" s="17" t="s">
        <v>510</v>
      </c>
      <c r="E9" s="17" t="s">
        <v>510</v>
      </c>
      <c r="F9" s="17" t="s">
        <v>510</v>
      </c>
      <c r="G9" s="17" t="s">
        <v>510</v>
      </c>
      <c r="H9" s="17" t="s">
        <v>510</v>
      </c>
    </row>
    <row r="10" spans="1:8" ht="22.5" customHeight="1" x14ac:dyDescent="0.35">
      <c r="A10" s="13" t="s">
        <v>513</v>
      </c>
      <c r="B10" s="17" t="s">
        <v>510</v>
      </c>
      <c r="C10" s="17" t="s">
        <v>510</v>
      </c>
      <c r="D10" s="17" t="s">
        <v>514</v>
      </c>
      <c r="E10" s="17" t="s">
        <v>510</v>
      </c>
      <c r="F10" s="17" t="s">
        <v>510</v>
      </c>
      <c r="G10" s="17" t="s">
        <v>510</v>
      </c>
      <c r="H10" s="17" t="s">
        <v>510</v>
      </c>
    </row>
    <row r="11" spans="1:8" ht="22.5" customHeight="1" x14ac:dyDescent="0.35">
      <c r="A11" s="13" t="s">
        <v>515</v>
      </c>
      <c r="B11" s="17" t="s">
        <v>510</v>
      </c>
      <c r="C11" s="17" t="s">
        <v>510</v>
      </c>
      <c r="D11" s="17" t="s">
        <v>510</v>
      </c>
      <c r="E11" s="17" t="s">
        <v>516</v>
      </c>
      <c r="F11" s="17" t="s">
        <v>510</v>
      </c>
      <c r="G11" s="17" t="s">
        <v>510</v>
      </c>
      <c r="H11" s="17" t="s">
        <v>510</v>
      </c>
    </row>
    <row r="12" spans="1:8" ht="22.5" customHeight="1" x14ac:dyDescent="0.35">
      <c r="A12" s="13" t="s">
        <v>517</v>
      </c>
      <c r="B12" s="17" t="s">
        <v>518</v>
      </c>
      <c r="C12" s="17" t="s">
        <v>518</v>
      </c>
      <c r="D12" s="17" t="s">
        <v>518</v>
      </c>
      <c r="E12" s="17" t="s">
        <v>510</v>
      </c>
      <c r="F12" s="17" t="s">
        <v>510</v>
      </c>
      <c r="G12" s="17" t="s">
        <v>510</v>
      </c>
      <c r="H12" s="17" t="s">
        <v>510</v>
      </c>
    </row>
    <row r="13" spans="1:8" ht="22.5" customHeight="1" x14ac:dyDescent="0.35">
      <c r="A13" s="13" t="s">
        <v>519</v>
      </c>
      <c r="B13" s="17" t="s">
        <v>510</v>
      </c>
      <c r="C13" s="17" t="s">
        <v>520</v>
      </c>
      <c r="D13" s="17" t="s">
        <v>510</v>
      </c>
      <c r="E13" s="17" t="s">
        <v>510</v>
      </c>
      <c r="F13" s="17" t="s">
        <v>510</v>
      </c>
      <c r="G13" s="17" t="s">
        <v>510</v>
      </c>
      <c r="H13" s="17" t="s">
        <v>510</v>
      </c>
    </row>
    <row r="14" spans="1:8" x14ac:dyDescent="0.35">
      <c r="A14" s="18" t="s">
        <v>143</v>
      </c>
      <c r="B14" s="20"/>
      <c r="C14" s="20"/>
      <c r="D14" s="20"/>
      <c r="E14" s="20"/>
      <c r="F14" s="20"/>
      <c r="G14" s="20"/>
      <c r="H14" s="20"/>
    </row>
    <row r="15" spans="1:8" ht="22.5" customHeight="1" x14ac:dyDescent="0.35">
      <c r="A15" s="13" t="s">
        <v>521</v>
      </c>
      <c r="B15" s="17" t="s">
        <v>145</v>
      </c>
      <c r="C15" s="17" t="s">
        <v>145</v>
      </c>
      <c r="D15" s="17" t="s">
        <v>145</v>
      </c>
      <c r="E15" s="17" t="s">
        <v>145</v>
      </c>
      <c r="F15" s="17" t="s">
        <v>145</v>
      </c>
      <c r="G15" s="17" t="s">
        <v>145</v>
      </c>
      <c r="H15" s="17" t="s">
        <v>145</v>
      </c>
    </row>
    <row r="16" spans="1:8" ht="64.5" customHeight="1" x14ac:dyDescent="0.35">
      <c r="A16" s="13" t="s">
        <v>522</v>
      </c>
      <c r="B16" s="17" t="s">
        <v>145</v>
      </c>
      <c r="C16" s="17" t="s">
        <v>145</v>
      </c>
      <c r="D16" s="17" t="s">
        <v>145</v>
      </c>
      <c r="E16" s="17" t="s">
        <v>145</v>
      </c>
      <c r="F16" s="17" t="s">
        <v>145</v>
      </c>
      <c r="G16" s="17" t="s">
        <v>145</v>
      </c>
      <c r="H16" s="17" t="s">
        <v>145</v>
      </c>
    </row>
    <row r="17" spans="1:8" x14ac:dyDescent="0.35">
      <c r="A17" s="13" t="s">
        <v>151</v>
      </c>
      <c r="B17" s="17"/>
      <c r="C17" s="17"/>
      <c r="D17" s="17"/>
      <c r="E17" s="17"/>
      <c r="F17" s="17"/>
      <c r="G17" s="17"/>
      <c r="H17" s="17"/>
    </row>
    <row r="18" spans="1:8" ht="22.5" customHeight="1" x14ac:dyDescent="0.35">
      <c r="A18" s="35" t="s">
        <v>523</v>
      </c>
      <c r="B18" s="35"/>
      <c r="C18" s="35"/>
      <c r="D18" s="35"/>
      <c r="E18" s="35"/>
      <c r="F18" s="35"/>
      <c r="G18" s="35"/>
      <c r="H18" s="35"/>
    </row>
    <row r="20" spans="1:8" ht="20.100000000000001" customHeight="1" x14ac:dyDescent="0.35">
      <c r="A20" s="30" t="s">
        <v>57</v>
      </c>
      <c r="B20" s="30"/>
      <c r="C20" s="30"/>
      <c r="D20" s="30"/>
      <c r="E20" s="30"/>
      <c r="F20" s="30"/>
      <c r="G20" s="30"/>
      <c r="H20" s="30"/>
    </row>
    <row r="22" spans="1:8" ht="22.5" customHeight="1" x14ac:dyDescent="0.35">
      <c r="A22" s="12" t="s">
        <v>58</v>
      </c>
      <c r="B22" s="28" t="s">
        <v>524</v>
      </c>
      <c r="C22" s="28"/>
      <c r="D22" s="28"/>
      <c r="E22" s="28"/>
      <c r="F22" s="28"/>
      <c r="G22" s="12" t="s">
        <v>60</v>
      </c>
      <c r="H22" s="14" t="s">
        <v>154</v>
      </c>
    </row>
    <row r="23" spans="1:8" ht="22.5" customHeight="1" x14ac:dyDescent="0.35">
      <c r="A23" s="12" t="s">
        <v>61</v>
      </c>
      <c r="B23" s="28" t="s">
        <v>525</v>
      </c>
      <c r="C23" s="28"/>
      <c r="D23" s="28"/>
      <c r="E23" s="28"/>
      <c r="F23" s="28"/>
      <c r="G23" s="12" t="s">
        <v>63</v>
      </c>
      <c r="H23" s="14" t="s">
        <v>156</v>
      </c>
    </row>
    <row r="24" spans="1:8" ht="55.5" customHeight="1" x14ac:dyDescent="0.35">
      <c r="A24" s="12" t="s">
        <v>64</v>
      </c>
      <c r="B24" s="28" t="s">
        <v>65</v>
      </c>
      <c r="C24" s="28"/>
      <c r="D24" s="28"/>
      <c r="E24" s="28"/>
      <c r="F24" s="28"/>
      <c r="G24" s="12" t="s">
        <v>66</v>
      </c>
      <c r="H24" s="13" t="s">
        <v>67</v>
      </c>
    </row>
    <row r="25" spans="1:8" ht="22.5" customHeight="1" x14ac:dyDescent="0.35">
      <c r="A25" s="12" t="s">
        <v>68</v>
      </c>
      <c r="B25" s="28" t="s">
        <v>526</v>
      </c>
      <c r="C25" s="28"/>
      <c r="D25" s="28"/>
      <c r="E25" s="28"/>
      <c r="F25" s="28"/>
      <c r="G25" s="28"/>
      <c r="H25" s="28"/>
    </row>
    <row r="26" spans="1:8" ht="22.5" customHeight="1" x14ac:dyDescent="0.35">
      <c r="A26" s="12" t="s">
        <v>70</v>
      </c>
      <c r="B26" s="28" t="s">
        <v>527</v>
      </c>
      <c r="C26" s="28"/>
      <c r="D26" s="28"/>
      <c r="E26" s="28"/>
      <c r="F26" s="28"/>
      <c r="G26" s="28"/>
      <c r="H26" s="28"/>
    </row>
    <row r="28" spans="1:8" ht="24" customHeight="1" x14ac:dyDescent="0.35">
      <c r="A28" s="29" t="s">
        <v>159</v>
      </c>
      <c r="B28" s="29" t="s">
        <v>72</v>
      </c>
      <c r="C28" s="29" t="s">
        <v>73</v>
      </c>
      <c r="D28" s="29"/>
      <c r="E28" s="29"/>
      <c r="F28" s="29" t="s">
        <v>74</v>
      </c>
      <c r="G28" s="29" t="s">
        <v>75</v>
      </c>
      <c r="H28" s="29" t="s">
        <v>76</v>
      </c>
    </row>
    <row r="29" spans="1:8" ht="64.5" customHeight="1" x14ac:dyDescent="0.35">
      <c r="A29" s="29"/>
      <c r="B29" s="29"/>
      <c r="C29" s="15" t="s">
        <v>528</v>
      </c>
      <c r="D29" s="15" t="s">
        <v>143</v>
      </c>
      <c r="E29" s="15" t="s">
        <v>529</v>
      </c>
      <c r="F29" s="29"/>
      <c r="G29" s="29"/>
      <c r="H29" s="29"/>
    </row>
    <row r="30" spans="1:8" ht="22.5" customHeight="1" x14ac:dyDescent="0.35">
      <c r="A30" s="17" t="s">
        <v>530</v>
      </c>
      <c r="B30" s="16" t="s">
        <v>531</v>
      </c>
      <c r="C30" s="13" t="s">
        <v>503</v>
      </c>
      <c r="D30" s="13" t="s">
        <v>532</v>
      </c>
      <c r="E30" s="13" t="s">
        <v>85</v>
      </c>
      <c r="F30" s="13" t="s">
        <v>533</v>
      </c>
      <c r="G30" s="13"/>
      <c r="H30" s="17" t="s">
        <v>5</v>
      </c>
    </row>
    <row r="31" spans="1:8" ht="85.5" customHeight="1" x14ac:dyDescent="0.35">
      <c r="A31" s="17" t="s">
        <v>534</v>
      </c>
      <c r="B31" s="16" t="s">
        <v>535</v>
      </c>
      <c r="C31" s="13" t="s">
        <v>503</v>
      </c>
      <c r="D31" s="13" t="s">
        <v>536</v>
      </c>
      <c r="E31" s="13" t="s">
        <v>85</v>
      </c>
      <c r="F31" s="13" t="s">
        <v>537</v>
      </c>
      <c r="G31" s="13" t="s">
        <v>102</v>
      </c>
      <c r="H31" s="17" t="s">
        <v>5</v>
      </c>
    </row>
    <row r="32" spans="1:8" ht="85.5" customHeight="1" x14ac:dyDescent="0.35">
      <c r="A32" s="17" t="s">
        <v>538</v>
      </c>
      <c r="B32" s="16" t="s">
        <v>539</v>
      </c>
      <c r="C32" s="13" t="s">
        <v>503</v>
      </c>
      <c r="D32" s="13" t="s">
        <v>540</v>
      </c>
      <c r="E32" s="13" t="s">
        <v>85</v>
      </c>
      <c r="F32" s="13" t="s">
        <v>541</v>
      </c>
      <c r="G32" s="13" t="s">
        <v>102</v>
      </c>
      <c r="H32" s="17" t="s">
        <v>5</v>
      </c>
    </row>
    <row r="33" spans="1:8" ht="85.5" customHeight="1" x14ac:dyDescent="0.35">
      <c r="A33" s="17" t="s">
        <v>542</v>
      </c>
      <c r="B33" s="16" t="s">
        <v>543</v>
      </c>
      <c r="C33" s="13" t="s">
        <v>503</v>
      </c>
      <c r="D33" s="13" t="s">
        <v>544</v>
      </c>
      <c r="E33" s="13" t="s">
        <v>85</v>
      </c>
      <c r="F33" s="13" t="s">
        <v>545</v>
      </c>
      <c r="G33" s="13" t="s">
        <v>102</v>
      </c>
      <c r="H33" s="17" t="s">
        <v>5</v>
      </c>
    </row>
    <row r="34" spans="1:8" ht="22.5" customHeight="1" x14ac:dyDescent="0.35">
      <c r="A34" s="17" t="s">
        <v>546</v>
      </c>
      <c r="B34" s="16" t="s">
        <v>547</v>
      </c>
      <c r="C34" s="13" t="s">
        <v>503</v>
      </c>
      <c r="D34" s="13" t="s">
        <v>548</v>
      </c>
      <c r="E34" s="13" t="s">
        <v>85</v>
      </c>
      <c r="F34" s="13" t="s">
        <v>464</v>
      </c>
      <c r="G34" s="13" t="s">
        <v>410</v>
      </c>
      <c r="H34" s="17" t="s">
        <v>5</v>
      </c>
    </row>
    <row r="35" spans="1:8" ht="85.5" customHeight="1" x14ac:dyDescent="0.35">
      <c r="A35" s="17" t="s">
        <v>549</v>
      </c>
      <c r="B35" s="16" t="s">
        <v>550</v>
      </c>
      <c r="C35" s="13" t="s">
        <v>503</v>
      </c>
      <c r="D35" s="13" t="s">
        <v>551</v>
      </c>
      <c r="E35" s="13" t="s">
        <v>85</v>
      </c>
      <c r="F35" s="13" t="s">
        <v>552</v>
      </c>
      <c r="G35" s="13" t="s">
        <v>102</v>
      </c>
      <c r="H35" s="17" t="s">
        <v>5</v>
      </c>
    </row>
    <row r="36" spans="1:8" ht="85.5" customHeight="1" x14ac:dyDescent="0.35">
      <c r="A36" s="17" t="s">
        <v>553</v>
      </c>
      <c r="B36" s="16" t="s">
        <v>554</v>
      </c>
      <c r="C36" s="13" t="s">
        <v>504</v>
      </c>
      <c r="D36" s="13" t="s">
        <v>532</v>
      </c>
      <c r="E36" s="13" t="s">
        <v>85</v>
      </c>
      <c r="F36" s="13" t="s">
        <v>555</v>
      </c>
      <c r="G36" s="13" t="s">
        <v>102</v>
      </c>
      <c r="H36" s="17" t="s">
        <v>5</v>
      </c>
    </row>
    <row r="37" spans="1:8" ht="22.5" customHeight="1" x14ac:dyDescent="0.35">
      <c r="A37" s="17" t="s">
        <v>556</v>
      </c>
      <c r="B37" s="16" t="s">
        <v>557</v>
      </c>
      <c r="C37" s="13" t="s">
        <v>504</v>
      </c>
      <c r="D37" s="13" t="s">
        <v>536</v>
      </c>
      <c r="E37" s="13" t="s">
        <v>85</v>
      </c>
      <c r="F37" s="13" t="s">
        <v>558</v>
      </c>
      <c r="G37" s="13" t="s">
        <v>505</v>
      </c>
      <c r="H37" s="17" t="s">
        <v>5</v>
      </c>
    </row>
    <row r="38" spans="1:8" ht="85.5" customHeight="1" x14ac:dyDescent="0.35">
      <c r="A38" s="17" t="s">
        <v>559</v>
      </c>
      <c r="B38" s="16" t="s">
        <v>560</v>
      </c>
      <c r="C38" s="13" t="s">
        <v>504</v>
      </c>
      <c r="D38" s="13" t="s">
        <v>540</v>
      </c>
      <c r="E38" s="13" t="s">
        <v>85</v>
      </c>
      <c r="F38" s="13" t="s">
        <v>561</v>
      </c>
      <c r="G38" s="13" t="s">
        <v>102</v>
      </c>
      <c r="H38" s="17" t="s">
        <v>5</v>
      </c>
    </row>
    <row r="39" spans="1:8" ht="85.5" customHeight="1" x14ac:dyDescent="0.35">
      <c r="A39" s="17" t="s">
        <v>562</v>
      </c>
      <c r="B39" s="16" t="s">
        <v>563</v>
      </c>
      <c r="C39" s="13" t="s">
        <v>504</v>
      </c>
      <c r="D39" s="13" t="s">
        <v>544</v>
      </c>
      <c r="E39" s="13" t="s">
        <v>85</v>
      </c>
      <c r="F39" s="13" t="s">
        <v>564</v>
      </c>
      <c r="G39" s="13" t="s">
        <v>102</v>
      </c>
      <c r="H39" s="17" t="s">
        <v>5</v>
      </c>
    </row>
    <row r="40" spans="1:8" ht="22.5" customHeight="1" x14ac:dyDescent="0.35">
      <c r="A40" s="17" t="s">
        <v>565</v>
      </c>
      <c r="B40" s="16" t="s">
        <v>566</v>
      </c>
      <c r="C40" s="13" t="s">
        <v>504</v>
      </c>
      <c r="D40" s="13" t="s">
        <v>548</v>
      </c>
      <c r="E40" s="13" t="s">
        <v>85</v>
      </c>
      <c r="F40" s="13" t="s">
        <v>464</v>
      </c>
      <c r="G40" s="13" t="s">
        <v>410</v>
      </c>
      <c r="H40" s="17" t="s">
        <v>5</v>
      </c>
    </row>
    <row r="41" spans="1:8" ht="22.5" customHeight="1" x14ac:dyDescent="0.35">
      <c r="A41" s="17" t="s">
        <v>567</v>
      </c>
      <c r="B41" s="16" t="s">
        <v>568</v>
      </c>
      <c r="C41" s="13" t="s">
        <v>504</v>
      </c>
      <c r="D41" s="13" t="s">
        <v>551</v>
      </c>
      <c r="E41" s="13" t="s">
        <v>85</v>
      </c>
      <c r="F41" s="13" t="s">
        <v>569</v>
      </c>
      <c r="G41" s="13" t="s">
        <v>507</v>
      </c>
      <c r="H41" s="17" t="s">
        <v>5</v>
      </c>
    </row>
    <row r="42" spans="1:8" ht="85.5" customHeight="1" x14ac:dyDescent="0.35">
      <c r="A42" s="17" t="s">
        <v>570</v>
      </c>
      <c r="B42" s="16" t="s">
        <v>571</v>
      </c>
      <c r="C42" s="13" t="s">
        <v>505</v>
      </c>
      <c r="D42" s="13" t="s">
        <v>532</v>
      </c>
      <c r="E42" s="13" t="s">
        <v>85</v>
      </c>
      <c r="F42" s="13" t="s">
        <v>572</v>
      </c>
      <c r="G42" s="13" t="s">
        <v>102</v>
      </c>
      <c r="H42" s="17" t="s">
        <v>5</v>
      </c>
    </row>
    <row r="43" spans="1:8" ht="85.5" customHeight="1" x14ac:dyDescent="0.35">
      <c r="A43" s="17" t="s">
        <v>573</v>
      </c>
      <c r="B43" s="16" t="s">
        <v>574</v>
      </c>
      <c r="C43" s="13" t="s">
        <v>505</v>
      </c>
      <c r="D43" s="13" t="s">
        <v>536</v>
      </c>
      <c r="E43" s="13" t="s">
        <v>85</v>
      </c>
      <c r="F43" s="13" t="s">
        <v>575</v>
      </c>
      <c r="G43" s="13" t="s">
        <v>102</v>
      </c>
      <c r="H43" s="17" t="s">
        <v>5</v>
      </c>
    </row>
    <row r="44" spans="1:8" ht="22.5" customHeight="1" x14ac:dyDescent="0.35">
      <c r="A44" s="17" t="s">
        <v>576</v>
      </c>
      <c r="B44" s="16" t="s">
        <v>577</v>
      </c>
      <c r="C44" s="13" t="s">
        <v>505</v>
      </c>
      <c r="D44" s="13" t="s">
        <v>540</v>
      </c>
      <c r="E44" s="13" t="s">
        <v>85</v>
      </c>
      <c r="F44" s="13" t="s">
        <v>578</v>
      </c>
      <c r="G44" s="13" t="s">
        <v>506</v>
      </c>
      <c r="H44" s="17" t="s">
        <v>5</v>
      </c>
    </row>
    <row r="45" spans="1:8" ht="85.5" customHeight="1" x14ac:dyDescent="0.35">
      <c r="A45" s="17" t="s">
        <v>579</v>
      </c>
      <c r="B45" s="16" t="s">
        <v>580</v>
      </c>
      <c r="C45" s="13" t="s">
        <v>505</v>
      </c>
      <c r="D45" s="13" t="s">
        <v>544</v>
      </c>
      <c r="E45" s="13" t="s">
        <v>85</v>
      </c>
      <c r="F45" s="13" t="s">
        <v>581</v>
      </c>
      <c r="G45" s="13" t="s">
        <v>102</v>
      </c>
      <c r="H45" s="17" t="s">
        <v>5</v>
      </c>
    </row>
    <row r="46" spans="1:8" ht="22.5" customHeight="1" x14ac:dyDescent="0.35">
      <c r="A46" s="17" t="s">
        <v>582</v>
      </c>
      <c r="B46" s="16" t="s">
        <v>583</v>
      </c>
      <c r="C46" s="13" t="s">
        <v>505</v>
      </c>
      <c r="D46" s="13" t="s">
        <v>548</v>
      </c>
      <c r="E46" s="13" t="s">
        <v>85</v>
      </c>
      <c r="F46" s="13" t="s">
        <v>464</v>
      </c>
      <c r="G46" s="13"/>
      <c r="H46" s="17" t="s">
        <v>5</v>
      </c>
    </row>
    <row r="47" spans="1:8" ht="85.5" customHeight="1" x14ac:dyDescent="0.35">
      <c r="A47" s="17" t="s">
        <v>584</v>
      </c>
      <c r="B47" s="16" t="s">
        <v>585</v>
      </c>
      <c r="C47" s="13" t="s">
        <v>505</v>
      </c>
      <c r="D47" s="13" t="s">
        <v>551</v>
      </c>
      <c r="E47" s="13" t="s">
        <v>85</v>
      </c>
      <c r="F47" s="13" t="s">
        <v>586</v>
      </c>
      <c r="G47" s="13" t="s">
        <v>102</v>
      </c>
      <c r="H47" s="17" t="s">
        <v>5</v>
      </c>
    </row>
    <row r="48" spans="1:8" ht="85.5" customHeight="1" x14ac:dyDescent="0.35">
      <c r="A48" s="17" t="s">
        <v>587</v>
      </c>
      <c r="B48" s="16" t="s">
        <v>588</v>
      </c>
      <c r="C48" s="13" t="s">
        <v>506</v>
      </c>
      <c r="D48" s="13" t="s">
        <v>532</v>
      </c>
      <c r="E48" s="13" t="s">
        <v>85</v>
      </c>
      <c r="F48" s="13" t="s">
        <v>589</v>
      </c>
      <c r="G48" s="13" t="s">
        <v>102</v>
      </c>
      <c r="H48" s="17" t="s">
        <v>5</v>
      </c>
    </row>
    <row r="49" spans="1:8" ht="85.5" customHeight="1" x14ac:dyDescent="0.35">
      <c r="A49" s="17" t="s">
        <v>590</v>
      </c>
      <c r="B49" s="16" t="s">
        <v>591</v>
      </c>
      <c r="C49" s="13" t="s">
        <v>506</v>
      </c>
      <c r="D49" s="13" t="s">
        <v>536</v>
      </c>
      <c r="E49" s="13" t="s">
        <v>85</v>
      </c>
      <c r="F49" s="13" t="s">
        <v>592</v>
      </c>
      <c r="G49" s="13" t="s">
        <v>102</v>
      </c>
      <c r="H49" s="17" t="s">
        <v>5</v>
      </c>
    </row>
    <row r="50" spans="1:8" ht="85.5" customHeight="1" x14ac:dyDescent="0.35">
      <c r="A50" s="17" t="s">
        <v>593</v>
      </c>
      <c r="B50" s="16" t="s">
        <v>594</v>
      </c>
      <c r="C50" s="13" t="s">
        <v>506</v>
      </c>
      <c r="D50" s="13" t="s">
        <v>540</v>
      </c>
      <c r="E50" s="13" t="s">
        <v>85</v>
      </c>
      <c r="F50" s="13" t="s">
        <v>595</v>
      </c>
      <c r="G50" s="13" t="s">
        <v>102</v>
      </c>
      <c r="H50" s="17" t="s">
        <v>5</v>
      </c>
    </row>
    <row r="51" spans="1:8" ht="22.5" customHeight="1" x14ac:dyDescent="0.35">
      <c r="A51" s="17" t="s">
        <v>596</v>
      </c>
      <c r="B51" s="16" t="s">
        <v>597</v>
      </c>
      <c r="C51" s="13" t="s">
        <v>506</v>
      </c>
      <c r="D51" s="13" t="s">
        <v>544</v>
      </c>
      <c r="E51" s="13" t="s">
        <v>419</v>
      </c>
      <c r="F51" s="13" t="s">
        <v>598</v>
      </c>
      <c r="G51" s="13" t="s">
        <v>419</v>
      </c>
      <c r="H51" s="17" t="s">
        <v>5</v>
      </c>
    </row>
    <row r="52" spans="1:8" ht="64.5" customHeight="1" x14ac:dyDescent="0.35">
      <c r="A52" s="17" t="s">
        <v>596</v>
      </c>
      <c r="B52" s="16" t="s">
        <v>599</v>
      </c>
      <c r="C52" s="13" t="s">
        <v>506</v>
      </c>
      <c r="D52" s="13" t="s">
        <v>544</v>
      </c>
      <c r="E52" s="13" t="s">
        <v>600</v>
      </c>
      <c r="F52" s="13" t="s">
        <v>601</v>
      </c>
      <c r="G52" s="13" t="s">
        <v>102</v>
      </c>
      <c r="H52" s="17" t="s">
        <v>5</v>
      </c>
    </row>
    <row r="53" spans="1:8" ht="85.5" customHeight="1" x14ac:dyDescent="0.35">
      <c r="A53" s="17" t="s">
        <v>602</v>
      </c>
      <c r="B53" s="16" t="s">
        <v>603</v>
      </c>
      <c r="C53" s="13" t="s">
        <v>506</v>
      </c>
      <c r="D53" s="13" t="s">
        <v>548</v>
      </c>
      <c r="E53" s="13" t="s">
        <v>85</v>
      </c>
      <c r="F53" s="13" t="s">
        <v>604</v>
      </c>
      <c r="G53" s="13" t="s">
        <v>102</v>
      </c>
      <c r="H53" s="17" t="s">
        <v>5</v>
      </c>
    </row>
    <row r="54" spans="1:8" ht="85.5" customHeight="1" x14ac:dyDescent="0.35">
      <c r="A54" s="17" t="s">
        <v>605</v>
      </c>
      <c r="B54" s="16" t="s">
        <v>606</v>
      </c>
      <c r="C54" s="13" t="s">
        <v>506</v>
      </c>
      <c r="D54" s="13" t="s">
        <v>551</v>
      </c>
      <c r="E54" s="13" t="s">
        <v>85</v>
      </c>
      <c r="F54" s="13" t="s">
        <v>607</v>
      </c>
      <c r="G54" s="13" t="s">
        <v>102</v>
      </c>
      <c r="H54" s="17" t="s">
        <v>5</v>
      </c>
    </row>
    <row r="55" spans="1:8" ht="85.5" customHeight="1" x14ac:dyDescent="0.35">
      <c r="A55" s="17" t="s">
        <v>608</v>
      </c>
      <c r="B55" s="16" t="s">
        <v>609</v>
      </c>
      <c r="C55" s="13" t="s">
        <v>419</v>
      </c>
      <c r="D55" s="13" t="s">
        <v>532</v>
      </c>
      <c r="E55" s="13" t="s">
        <v>85</v>
      </c>
      <c r="F55" s="13" t="s">
        <v>610</v>
      </c>
      <c r="G55" s="13" t="s">
        <v>102</v>
      </c>
      <c r="H55" s="17" t="s">
        <v>5</v>
      </c>
    </row>
    <row r="56" spans="1:8" ht="85.5" customHeight="1" x14ac:dyDescent="0.35">
      <c r="A56" s="17" t="s">
        <v>611</v>
      </c>
      <c r="B56" s="16" t="s">
        <v>612</v>
      </c>
      <c r="C56" s="13" t="s">
        <v>419</v>
      </c>
      <c r="D56" s="13" t="s">
        <v>536</v>
      </c>
      <c r="E56" s="13" t="s">
        <v>85</v>
      </c>
      <c r="F56" s="13" t="s">
        <v>613</v>
      </c>
      <c r="G56" s="13" t="s">
        <v>102</v>
      </c>
      <c r="H56" s="17" t="s">
        <v>5</v>
      </c>
    </row>
    <row r="57" spans="1:8" ht="85.5" customHeight="1" x14ac:dyDescent="0.35">
      <c r="A57" s="17" t="s">
        <v>614</v>
      </c>
      <c r="B57" s="16" t="s">
        <v>615</v>
      </c>
      <c r="C57" s="13" t="s">
        <v>419</v>
      </c>
      <c r="D57" s="13" t="s">
        <v>540</v>
      </c>
      <c r="E57" s="13" t="s">
        <v>85</v>
      </c>
      <c r="F57" s="13" t="s">
        <v>616</v>
      </c>
      <c r="G57" s="13" t="s">
        <v>102</v>
      </c>
      <c r="H57" s="17" t="s">
        <v>5</v>
      </c>
    </row>
    <row r="58" spans="1:8" ht="85.5" customHeight="1" x14ac:dyDescent="0.35">
      <c r="A58" s="17" t="s">
        <v>617</v>
      </c>
      <c r="B58" s="16" t="s">
        <v>618</v>
      </c>
      <c r="C58" s="13" t="s">
        <v>419</v>
      </c>
      <c r="D58" s="13" t="s">
        <v>544</v>
      </c>
      <c r="E58" s="13" t="s">
        <v>85</v>
      </c>
      <c r="F58" s="13" t="s">
        <v>619</v>
      </c>
      <c r="G58" s="13" t="s">
        <v>102</v>
      </c>
      <c r="H58" s="17" t="s">
        <v>5</v>
      </c>
    </row>
    <row r="59" spans="1:8" ht="85.5" customHeight="1" x14ac:dyDescent="0.35">
      <c r="A59" s="17" t="s">
        <v>620</v>
      </c>
      <c r="B59" s="16" t="s">
        <v>621</v>
      </c>
      <c r="C59" s="13" t="s">
        <v>419</v>
      </c>
      <c r="D59" s="13" t="s">
        <v>548</v>
      </c>
      <c r="E59" s="13" t="s">
        <v>85</v>
      </c>
      <c r="F59" s="13" t="s">
        <v>622</v>
      </c>
      <c r="G59" s="13" t="s">
        <v>102</v>
      </c>
      <c r="H59" s="17" t="s">
        <v>5</v>
      </c>
    </row>
    <row r="60" spans="1:8" ht="85.5" customHeight="1" x14ac:dyDescent="0.35">
      <c r="A60" s="17" t="s">
        <v>623</v>
      </c>
      <c r="B60" s="16" t="s">
        <v>624</v>
      </c>
      <c r="C60" s="13" t="s">
        <v>419</v>
      </c>
      <c r="D60" s="13" t="s">
        <v>551</v>
      </c>
      <c r="E60" s="13" t="s">
        <v>85</v>
      </c>
      <c r="F60" s="13" t="s">
        <v>625</v>
      </c>
      <c r="G60" s="13" t="s">
        <v>102</v>
      </c>
      <c r="H60" s="17" t="s">
        <v>5</v>
      </c>
    </row>
    <row r="61" spans="1:8" ht="85.5" customHeight="1" x14ac:dyDescent="0.35">
      <c r="A61" s="17" t="s">
        <v>626</v>
      </c>
      <c r="B61" s="16" t="s">
        <v>627</v>
      </c>
      <c r="C61" s="13" t="s">
        <v>410</v>
      </c>
      <c r="D61" s="13" t="s">
        <v>532</v>
      </c>
      <c r="E61" s="13" t="s">
        <v>85</v>
      </c>
      <c r="F61" s="13" t="s">
        <v>628</v>
      </c>
      <c r="G61" s="13" t="s">
        <v>102</v>
      </c>
      <c r="H61" s="17" t="s">
        <v>5</v>
      </c>
    </row>
    <row r="62" spans="1:8" ht="85.5" customHeight="1" x14ac:dyDescent="0.35">
      <c r="A62" s="17" t="s">
        <v>629</v>
      </c>
      <c r="B62" s="16" t="s">
        <v>630</v>
      </c>
      <c r="C62" s="13" t="s">
        <v>410</v>
      </c>
      <c r="D62" s="13" t="s">
        <v>536</v>
      </c>
      <c r="E62" s="13" t="s">
        <v>85</v>
      </c>
      <c r="F62" s="13" t="s">
        <v>631</v>
      </c>
      <c r="G62" s="13" t="s">
        <v>102</v>
      </c>
      <c r="H62" s="17" t="s">
        <v>5</v>
      </c>
    </row>
    <row r="63" spans="1:8" ht="85.5" customHeight="1" x14ac:dyDescent="0.35">
      <c r="A63" s="17" t="s">
        <v>632</v>
      </c>
      <c r="B63" s="16" t="s">
        <v>633</v>
      </c>
      <c r="C63" s="13" t="s">
        <v>410</v>
      </c>
      <c r="D63" s="13" t="s">
        <v>540</v>
      </c>
      <c r="E63" s="13" t="s">
        <v>85</v>
      </c>
      <c r="F63" s="13" t="s">
        <v>634</v>
      </c>
      <c r="G63" s="13" t="s">
        <v>102</v>
      </c>
      <c r="H63" s="17" t="s">
        <v>5</v>
      </c>
    </row>
    <row r="64" spans="1:8" ht="85.5" customHeight="1" x14ac:dyDescent="0.35">
      <c r="A64" s="17" t="s">
        <v>635</v>
      </c>
      <c r="B64" s="16" t="s">
        <v>636</v>
      </c>
      <c r="C64" s="13" t="s">
        <v>410</v>
      </c>
      <c r="D64" s="13" t="s">
        <v>544</v>
      </c>
      <c r="E64" s="13" t="s">
        <v>85</v>
      </c>
      <c r="F64" s="13" t="s">
        <v>637</v>
      </c>
      <c r="G64" s="13" t="s">
        <v>102</v>
      </c>
      <c r="H64" s="17" t="s">
        <v>5</v>
      </c>
    </row>
    <row r="65" spans="1:8" ht="85.5" customHeight="1" x14ac:dyDescent="0.35">
      <c r="A65" s="17" t="s">
        <v>638</v>
      </c>
      <c r="B65" s="16" t="s">
        <v>639</v>
      </c>
      <c r="C65" s="13" t="s">
        <v>410</v>
      </c>
      <c r="D65" s="13" t="s">
        <v>548</v>
      </c>
      <c r="E65" s="13" t="s">
        <v>85</v>
      </c>
      <c r="F65" s="13" t="s">
        <v>640</v>
      </c>
      <c r="G65" s="13" t="s">
        <v>102</v>
      </c>
      <c r="H65" s="17" t="s">
        <v>5</v>
      </c>
    </row>
    <row r="66" spans="1:8" ht="85.5" customHeight="1" x14ac:dyDescent="0.35">
      <c r="A66" s="17" t="s">
        <v>641</v>
      </c>
      <c r="B66" s="16" t="s">
        <v>642</v>
      </c>
      <c r="C66" s="13" t="s">
        <v>410</v>
      </c>
      <c r="D66" s="13" t="s">
        <v>551</v>
      </c>
      <c r="E66" s="13" t="s">
        <v>85</v>
      </c>
      <c r="F66" s="13" t="s">
        <v>643</v>
      </c>
      <c r="G66" s="13" t="s">
        <v>102</v>
      </c>
      <c r="H66" s="17" t="s">
        <v>5</v>
      </c>
    </row>
    <row r="67" spans="1:8" ht="85.5" customHeight="1" x14ac:dyDescent="0.35">
      <c r="A67" s="17" t="s">
        <v>644</v>
      </c>
      <c r="B67" s="16" t="s">
        <v>645</v>
      </c>
      <c r="C67" s="13" t="s">
        <v>507</v>
      </c>
      <c r="D67" s="13" t="s">
        <v>532</v>
      </c>
      <c r="E67" s="13" t="s">
        <v>85</v>
      </c>
      <c r="F67" s="13" t="s">
        <v>646</v>
      </c>
      <c r="G67" s="13" t="s">
        <v>102</v>
      </c>
      <c r="H67" s="17" t="s">
        <v>5</v>
      </c>
    </row>
    <row r="68" spans="1:8" ht="85.5" customHeight="1" x14ac:dyDescent="0.35">
      <c r="A68" s="17" t="s">
        <v>647</v>
      </c>
      <c r="B68" s="16" t="s">
        <v>648</v>
      </c>
      <c r="C68" s="13" t="s">
        <v>507</v>
      </c>
      <c r="D68" s="13" t="s">
        <v>536</v>
      </c>
      <c r="E68" s="13" t="s">
        <v>85</v>
      </c>
      <c r="F68" s="13" t="s">
        <v>649</v>
      </c>
      <c r="G68" s="13" t="s">
        <v>102</v>
      </c>
      <c r="H68" s="17" t="s">
        <v>5</v>
      </c>
    </row>
    <row r="69" spans="1:8" ht="85.5" customHeight="1" x14ac:dyDescent="0.35">
      <c r="A69" s="17" t="s">
        <v>650</v>
      </c>
      <c r="B69" s="16" t="s">
        <v>651</v>
      </c>
      <c r="C69" s="13" t="s">
        <v>507</v>
      </c>
      <c r="D69" s="13" t="s">
        <v>540</v>
      </c>
      <c r="E69" s="13" t="s">
        <v>85</v>
      </c>
      <c r="F69" s="13" t="s">
        <v>652</v>
      </c>
      <c r="G69" s="13" t="s">
        <v>102</v>
      </c>
      <c r="H69" s="17" t="s">
        <v>5</v>
      </c>
    </row>
    <row r="70" spans="1:8" ht="85.5" customHeight="1" x14ac:dyDescent="0.35">
      <c r="A70" s="17" t="s">
        <v>653</v>
      </c>
      <c r="B70" s="16" t="s">
        <v>654</v>
      </c>
      <c r="C70" s="13" t="s">
        <v>507</v>
      </c>
      <c r="D70" s="13" t="s">
        <v>544</v>
      </c>
      <c r="E70" s="13" t="s">
        <v>85</v>
      </c>
      <c r="F70" s="13" t="s">
        <v>655</v>
      </c>
      <c r="G70" s="13" t="s">
        <v>102</v>
      </c>
      <c r="H70" s="17" t="s">
        <v>5</v>
      </c>
    </row>
    <row r="71" spans="1:8" ht="85.5" customHeight="1" x14ac:dyDescent="0.35">
      <c r="A71" s="17" t="s">
        <v>656</v>
      </c>
      <c r="B71" s="16" t="s">
        <v>657</v>
      </c>
      <c r="C71" s="13" t="s">
        <v>507</v>
      </c>
      <c r="D71" s="13" t="s">
        <v>548</v>
      </c>
      <c r="E71" s="13" t="s">
        <v>85</v>
      </c>
      <c r="F71" s="13" t="s">
        <v>658</v>
      </c>
      <c r="G71" s="13" t="s">
        <v>102</v>
      </c>
      <c r="H71" s="17" t="s">
        <v>5</v>
      </c>
    </row>
    <row r="72" spans="1:8" ht="85.5" customHeight="1" x14ac:dyDescent="0.35">
      <c r="A72" s="17" t="s">
        <v>659</v>
      </c>
      <c r="B72" s="16" t="s">
        <v>660</v>
      </c>
      <c r="C72" s="13" t="s">
        <v>507</v>
      </c>
      <c r="D72" s="13" t="s">
        <v>551</v>
      </c>
      <c r="E72" s="13" t="s">
        <v>85</v>
      </c>
      <c r="F72" s="13" t="s">
        <v>661</v>
      </c>
      <c r="G72" s="13" t="s">
        <v>102</v>
      </c>
      <c r="H72" s="17" t="s">
        <v>5</v>
      </c>
    </row>
    <row r="73" spans="1:8" ht="64.5" customHeight="1" x14ac:dyDescent="0.35">
      <c r="A73" s="17" t="s">
        <v>662</v>
      </c>
      <c r="B73" s="16" t="s">
        <v>663</v>
      </c>
      <c r="C73" s="13" t="s">
        <v>504</v>
      </c>
      <c r="D73" s="13" t="s">
        <v>664</v>
      </c>
      <c r="E73" s="13" t="s">
        <v>85</v>
      </c>
      <c r="F73" s="13" t="s">
        <v>665</v>
      </c>
      <c r="G73" s="13" t="s">
        <v>102</v>
      </c>
      <c r="H73" s="17" t="s">
        <v>5</v>
      </c>
    </row>
    <row r="74" spans="1:8" ht="85.5" customHeight="1" x14ac:dyDescent="0.35">
      <c r="A74" s="17" t="s">
        <v>662</v>
      </c>
      <c r="B74" s="16" t="s">
        <v>666</v>
      </c>
      <c r="C74" s="13" t="s">
        <v>667</v>
      </c>
      <c r="D74" s="13" t="s">
        <v>668</v>
      </c>
      <c r="E74" s="13" t="s">
        <v>85</v>
      </c>
      <c r="F74" s="13" t="s">
        <v>669</v>
      </c>
      <c r="G74" s="13" t="s">
        <v>670</v>
      </c>
      <c r="H74" s="17" t="s">
        <v>5</v>
      </c>
    </row>
  </sheetData>
  <mergeCells count="16">
    <mergeCell ref="H28:H29"/>
    <mergeCell ref="B23:F23"/>
    <mergeCell ref="B24:F24"/>
    <mergeCell ref="B25:H25"/>
    <mergeCell ref="B26:H26"/>
    <mergeCell ref="A28:A29"/>
    <mergeCell ref="B28:B29"/>
    <mergeCell ref="C28:E28"/>
    <mergeCell ref="F28:F29"/>
    <mergeCell ref="G28:G29"/>
    <mergeCell ref="B22:F22"/>
    <mergeCell ref="A2:H2"/>
    <mergeCell ref="A3:H3"/>
    <mergeCell ref="A4:H4"/>
    <mergeCell ref="A18:H18"/>
    <mergeCell ref="A20:H20"/>
  </mergeCells>
  <conditionalFormatting sqref="H30:H74">
    <cfRule type="cellIs" dxfId="86" priority="1" operator="equal">
      <formula>"Pass"</formula>
    </cfRule>
    <cfRule type="cellIs" dxfId="85" priority="2" operator="equal">
      <formula>"Fail"</formula>
    </cfRule>
    <cfRule type="cellIs" dxfId="84" priority="3" operator="equal">
      <formula>"Block"</formula>
    </cfRule>
  </conditionalFormatting>
  <dataValidations count="1">
    <dataValidation type="list" allowBlank="1" sqref="H30:H74" xr:uid="{1710C199-18FC-4D95-97FE-62D5BC3C500D}">
      <formula1>"Pass,Fail,No run,Block"</formula1>
      <formula2>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7F17-AB3D-4468-BBBE-4A583EC6791C}">
  <dimension ref="A1:I30"/>
  <sheetViews>
    <sheetView topLeftCell="A6" workbookViewId="0">
      <selection activeCell="B17" sqref="B17:C17"/>
    </sheetView>
  </sheetViews>
  <sheetFormatPr defaultColWidth="7.625" defaultRowHeight="23.25" x14ac:dyDescent="0.35"/>
  <cols>
    <col min="1" max="1" width="19.25" style="8" customWidth="1"/>
    <col min="2" max="2" width="17.5" style="8" customWidth="1"/>
    <col min="3" max="3" width="40.25" style="8" customWidth="1"/>
    <col min="4" max="4" width="15.75" style="8" customWidth="1"/>
    <col min="5" max="5" width="17.75" style="8" customWidth="1"/>
    <col min="6" max="8" width="12.25" style="8" customWidth="1"/>
    <col min="9" max="9" width="15.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679</v>
      </c>
      <c r="C4" s="31"/>
      <c r="E4" s="11" t="s">
        <v>85</v>
      </c>
      <c r="F4" s="31" t="s">
        <v>680</v>
      </c>
      <c r="G4" s="31"/>
      <c r="H4" s="31"/>
      <c r="I4" s="31"/>
    </row>
    <row r="5" spans="1:9" ht="24" thickBot="1" x14ac:dyDescent="0.4">
      <c r="A5" s="11" t="s">
        <v>23</v>
      </c>
      <c r="B5" s="31" t="s">
        <v>533</v>
      </c>
      <c r="C5" s="31"/>
    </row>
    <row r="6" spans="1:9" ht="24" thickBot="1" x14ac:dyDescent="0.4">
      <c r="A6" s="11" t="s">
        <v>27</v>
      </c>
      <c r="B6" s="31" t="s">
        <v>558</v>
      </c>
      <c r="C6" s="31"/>
    </row>
    <row r="7" spans="1:9" ht="24" thickBot="1" x14ac:dyDescent="0.4">
      <c r="A7" s="11" t="s">
        <v>31</v>
      </c>
      <c r="B7" s="31" t="s">
        <v>681</v>
      </c>
      <c r="C7" s="31"/>
    </row>
    <row r="8" spans="1:9" ht="24" thickBot="1" x14ac:dyDescent="0.4">
      <c r="A8" s="11" t="s">
        <v>35</v>
      </c>
      <c r="B8" s="31" t="s">
        <v>682</v>
      </c>
      <c r="C8" s="31"/>
    </row>
    <row r="9" spans="1:9" ht="24" thickBot="1" x14ac:dyDescent="0.4">
      <c r="A9" s="11" t="s">
        <v>39</v>
      </c>
      <c r="B9" s="31" t="s">
        <v>464</v>
      </c>
      <c r="C9" s="31"/>
    </row>
    <row r="10" spans="1:9" ht="24" thickBot="1" x14ac:dyDescent="0.4">
      <c r="A10" s="11" t="s">
        <v>683</v>
      </c>
      <c r="B10" s="31" t="s">
        <v>569</v>
      </c>
      <c r="C10" s="31"/>
    </row>
    <row r="11" spans="1:9" ht="24" thickBot="1" x14ac:dyDescent="0.4">
      <c r="A11" s="11" t="s">
        <v>684</v>
      </c>
      <c r="B11" s="31" t="s">
        <v>685</v>
      </c>
      <c r="C11" s="31"/>
    </row>
    <row r="13" spans="1:9" x14ac:dyDescent="0.35">
      <c r="A13" s="30" t="s">
        <v>57</v>
      </c>
      <c r="B13" s="30"/>
      <c r="C13" s="30"/>
      <c r="D13" s="30"/>
      <c r="E13" s="30"/>
      <c r="F13" s="30"/>
      <c r="G13" s="30"/>
      <c r="H13" s="30"/>
      <c r="I13" s="30"/>
    </row>
    <row r="15" spans="1:9" x14ac:dyDescent="0.35">
      <c r="A15" s="12" t="s">
        <v>58</v>
      </c>
      <c r="B15" s="28" t="s">
        <v>686</v>
      </c>
      <c r="C15" s="28"/>
      <c r="D15" s="21"/>
      <c r="E15" s="21"/>
      <c r="F15" s="21"/>
      <c r="G15" s="21"/>
      <c r="H15" s="12" t="s">
        <v>60</v>
      </c>
      <c r="I15" s="14" t="s">
        <v>154</v>
      </c>
    </row>
    <row r="16" spans="1:9" x14ac:dyDescent="0.35">
      <c r="A16" s="12" t="s">
        <v>61</v>
      </c>
      <c r="B16" s="28" t="s">
        <v>687</v>
      </c>
      <c r="C16" s="28"/>
      <c r="D16" s="21"/>
      <c r="E16" s="21"/>
      <c r="F16" s="21"/>
      <c r="G16" s="21"/>
      <c r="H16" s="12" t="s">
        <v>63</v>
      </c>
      <c r="I16" s="14" t="s">
        <v>156</v>
      </c>
    </row>
    <row r="17" spans="1:9" ht="46.5" x14ac:dyDescent="0.35">
      <c r="A17" s="12" t="s">
        <v>64</v>
      </c>
      <c r="B17" s="28" t="s">
        <v>65</v>
      </c>
      <c r="C17" s="28"/>
      <c r="D17" s="21"/>
      <c r="E17" s="21"/>
      <c r="F17" s="21"/>
      <c r="G17" s="21"/>
      <c r="H17" s="12" t="s">
        <v>66</v>
      </c>
      <c r="I17" s="13" t="s">
        <v>67</v>
      </c>
    </row>
    <row r="18" spans="1:9" ht="46.5" x14ac:dyDescent="0.35">
      <c r="A18" s="12" t="s">
        <v>68</v>
      </c>
      <c r="B18" s="28" t="s">
        <v>688</v>
      </c>
      <c r="C18" s="28"/>
      <c r="D18" s="28"/>
      <c r="E18" s="28"/>
      <c r="F18" s="28"/>
      <c r="G18" s="28"/>
      <c r="H18" s="28"/>
      <c r="I18" s="28"/>
    </row>
    <row r="19" spans="1:9" ht="46.5" x14ac:dyDescent="0.35">
      <c r="A19" s="12" t="s">
        <v>70</v>
      </c>
      <c r="B19" s="28" t="s">
        <v>689</v>
      </c>
      <c r="C19" s="28"/>
      <c r="D19" s="28"/>
      <c r="E19" s="28"/>
      <c r="F19" s="28"/>
      <c r="G19" s="28"/>
      <c r="H19" s="28"/>
      <c r="I19" s="28"/>
    </row>
    <row r="21" spans="1:9" x14ac:dyDescent="0.35">
      <c r="A21" s="29" t="s">
        <v>72</v>
      </c>
      <c r="B21" s="15" t="s">
        <v>73</v>
      </c>
      <c r="C21" s="29" t="s">
        <v>74</v>
      </c>
      <c r="D21" s="29" t="s">
        <v>75</v>
      </c>
      <c r="E21" s="29" t="s">
        <v>76</v>
      </c>
    </row>
    <row r="22" spans="1:9" x14ac:dyDescent="0.35">
      <c r="A22" s="29"/>
      <c r="B22" s="15" t="s">
        <v>690</v>
      </c>
      <c r="C22" s="29"/>
      <c r="D22" s="29"/>
      <c r="E22" s="29"/>
    </row>
    <row r="23" spans="1:9" ht="46.5" x14ac:dyDescent="0.35">
      <c r="A23" s="16" t="s">
        <v>691</v>
      </c>
      <c r="B23" s="13" t="s">
        <v>503</v>
      </c>
      <c r="C23" s="13" t="s">
        <v>692</v>
      </c>
      <c r="D23" s="13" t="s">
        <v>503</v>
      </c>
      <c r="E23" s="17" t="s">
        <v>5</v>
      </c>
    </row>
    <row r="24" spans="1:9" ht="46.5" x14ac:dyDescent="0.35">
      <c r="A24" s="16" t="s">
        <v>693</v>
      </c>
      <c r="B24" s="13" t="s">
        <v>504</v>
      </c>
      <c r="C24" s="13" t="s">
        <v>694</v>
      </c>
      <c r="D24" s="13" t="s">
        <v>504</v>
      </c>
      <c r="E24" s="17" t="s">
        <v>5</v>
      </c>
    </row>
    <row r="25" spans="1:9" ht="46.5" x14ac:dyDescent="0.35">
      <c r="A25" s="16" t="s">
        <v>695</v>
      </c>
      <c r="B25" s="13" t="s">
        <v>505</v>
      </c>
      <c r="C25" s="13" t="s">
        <v>696</v>
      </c>
      <c r="D25" s="13" t="s">
        <v>505</v>
      </c>
      <c r="E25" s="17" t="s">
        <v>5</v>
      </c>
    </row>
    <row r="26" spans="1:9" ht="46.5" x14ac:dyDescent="0.35">
      <c r="A26" s="16" t="s">
        <v>697</v>
      </c>
      <c r="B26" s="13" t="s">
        <v>506</v>
      </c>
      <c r="C26" s="13" t="s">
        <v>698</v>
      </c>
      <c r="D26" s="13" t="s">
        <v>506</v>
      </c>
      <c r="E26" s="17" t="s">
        <v>5</v>
      </c>
    </row>
    <row r="27" spans="1:9" ht="46.5" x14ac:dyDescent="0.35">
      <c r="A27" s="16" t="s">
        <v>699</v>
      </c>
      <c r="B27" s="13" t="s">
        <v>419</v>
      </c>
      <c r="C27" s="13" t="s">
        <v>700</v>
      </c>
      <c r="D27" s="13" t="s">
        <v>419</v>
      </c>
      <c r="E27" s="17" t="s">
        <v>5</v>
      </c>
    </row>
    <row r="28" spans="1:9" ht="46.5" x14ac:dyDescent="0.35">
      <c r="A28" s="16" t="s">
        <v>701</v>
      </c>
      <c r="B28" s="13" t="s">
        <v>410</v>
      </c>
      <c r="C28" s="13" t="s">
        <v>702</v>
      </c>
      <c r="D28" s="13" t="s">
        <v>410</v>
      </c>
      <c r="E28" s="17" t="s">
        <v>5</v>
      </c>
    </row>
    <row r="29" spans="1:9" ht="46.5" x14ac:dyDescent="0.35">
      <c r="A29" s="16" t="s">
        <v>703</v>
      </c>
      <c r="B29" s="13" t="s">
        <v>507</v>
      </c>
      <c r="C29" s="13" t="s">
        <v>704</v>
      </c>
      <c r="D29" s="13" t="s">
        <v>507</v>
      </c>
      <c r="E29" s="17" t="s">
        <v>5</v>
      </c>
    </row>
    <row r="30" spans="1:9" ht="46.5" x14ac:dyDescent="0.35">
      <c r="A30" s="16" t="s">
        <v>705</v>
      </c>
      <c r="B30" s="13" t="s">
        <v>93</v>
      </c>
      <c r="C30" s="13" t="s">
        <v>706</v>
      </c>
      <c r="D30" s="13" t="s">
        <v>707</v>
      </c>
      <c r="E30" s="17" t="s">
        <v>5</v>
      </c>
    </row>
  </sheetData>
  <mergeCells count="23">
    <mergeCell ref="B19:I19"/>
    <mergeCell ref="A21:A22"/>
    <mergeCell ref="C21:C22"/>
    <mergeCell ref="D21:D22"/>
    <mergeCell ref="E21:E22"/>
    <mergeCell ref="B18:I18"/>
    <mergeCell ref="B5:C5"/>
    <mergeCell ref="B6:C6"/>
    <mergeCell ref="B7:C7"/>
    <mergeCell ref="B8:C8"/>
    <mergeCell ref="B9:C9"/>
    <mergeCell ref="B10:C10"/>
    <mergeCell ref="B11:C11"/>
    <mergeCell ref="A13:I13"/>
    <mergeCell ref="B15:C15"/>
    <mergeCell ref="B16:C16"/>
    <mergeCell ref="B17:C17"/>
    <mergeCell ref="A1:I1"/>
    <mergeCell ref="E2:F2"/>
    <mergeCell ref="B3:C3"/>
    <mergeCell ref="F3:I3"/>
    <mergeCell ref="B4:C4"/>
    <mergeCell ref="F4:I4"/>
  </mergeCells>
  <conditionalFormatting sqref="E23:E30">
    <cfRule type="cellIs" dxfId="83" priority="1" operator="equal">
      <formula>"Pass"</formula>
    </cfRule>
    <cfRule type="cellIs" dxfId="82" priority="2" operator="equal">
      <formula>"Fail"</formula>
    </cfRule>
    <cfRule type="cellIs" dxfId="81" priority="3" operator="equal">
      <formula>"Block"</formula>
    </cfRule>
  </conditionalFormatting>
  <dataValidations count="1">
    <dataValidation type="list" allowBlank="1" sqref="E23:E30" xr:uid="{63AF4BCA-D9D3-4060-939A-5EB7E4EBD518}">
      <formula1>"Pass,Fail,No run,Block"</formula1>
      <formula2>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8779-48C7-4989-A948-D292DD8E6ED3}">
  <dimension ref="A1:I19"/>
  <sheetViews>
    <sheetView topLeftCell="A12" workbookViewId="0">
      <selection activeCell="I16" sqref="I16"/>
    </sheetView>
  </sheetViews>
  <sheetFormatPr defaultColWidth="7.625" defaultRowHeight="23.25" x14ac:dyDescent="0.35"/>
  <cols>
    <col min="1" max="1" width="19.25" style="8" customWidth="1"/>
    <col min="2" max="2" width="15.75" style="8" customWidth="1"/>
    <col min="3" max="3" width="49" style="8" customWidth="1"/>
    <col min="4" max="4" width="15.75" style="8" customWidth="1"/>
    <col min="5" max="5" width="14.875" style="8" customWidth="1"/>
    <col min="6" max="7" width="7.625" style="8"/>
    <col min="8" max="8" width="8.75" style="8" customWidth="1"/>
    <col min="9" max="9" width="19.25" style="8" customWidth="1"/>
    <col min="10" max="16384" width="7.625" style="8"/>
  </cols>
  <sheetData>
    <row r="1" spans="1:9" x14ac:dyDescent="0.35">
      <c r="A1" s="30" t="s">
        <v>57</v>
      </c>
      <c r="B1" s="30"/>
      <c r="C1" s="30"/>
      <c r="D1" s="30"/>
      <c r="E1" s="30"/>
      <c r="H1" s="13"/>
      <c r="I1" s="15" t="s">
        <v>710</v>
      </c>
    </row>
    <row r="2" spans="1:9" x14ac:dyDescent="0.35">
      <c r="H2" s="17" t="s">
        <v>223</v>
      </c>
      <c r="I2" s="17" t="s">
        <v>307</v>
      </c>
    </row>
    <row r="3" spans="1:9" x14ac:dyDescent="0.35">
      <c r="A3" s="12" t="s">
        <v>58</v>
      </c>
      <c r="B3" s="28" t="s">
        <v>711</v>
      </c>
      <c r="C3" s="28"/>
      <c r="D3" s="12" t="s">
        <v>60</v>
      </c>
      <c r="E3" s="14" t="s">
        <v>154</v>
      </c>
      <c r="H3" s="17" t="s">
        <v>227</v>
      </c>
      <c r="I3" s="17" t="s">
        <v>86</v>
      </c>
    </row>
    <row r="4" spans="1:9" x14ac:dyDescent="0.35">
      <c r="A4" s="12" t="s">
        <v>61</v>
      </c>
      <c r="B4" s="28" t="s">
        <v>230</v>
      </c>
      <c r="C4" s="28"/>
      <c r="D4" s="12" t="s">
        <v>63</v>
      </c>
      <c r="E4" s="14" t="s">
        <v>156</v>
      </c>
      <c r="H4" s="17" t="s">
        <v>231</v>
      </c>
      <c r="I4" s="17" t="s">
        <v>712</v>
      </c>
    </row>
    <row r="5" spans="1:9" ht="46.5" x14ac:dyDescent="0.35">
      <c r="A5" s="12" t="s">
        <v>64</v>
      </c>
      <c r="B5" s="28" t="s">
        <v>65</v>
      </c>
      <c r="C5" s="28"/>
      <c r="D5" s="12" t="s">
        <v>66</v>
      </c>
      <c r="E5" s="13" t="s">
        <v>67</v>
      </c>
      <c r="H5" s="17" t="s">
        <v>233</v>
      </c>
      <c r="I5" s="17" t="s">
        <v>713</v>
      </c>
    </row>
    <row r="6" spans="1:9" ht="46.5" x14ac:dyDescent="0.35">
      <c r="A6" s="12" t="s">
        <v>68</v>
      </c>
      <c r="B6" s="28" t="s">
        <v>714</v>
      </c>
      <c r="C6" s="28"/>
      <c r="D6" s="28"/>
      <c r="E6" s="28"/>
      <c r="H6" s="17" t="s">
        <v>237</v>
      </c>
      <c r="I6" s="17" t="s">
        <v>715</v>
      </c>
    </row>
    <row r="7" spans="1:9" ht="46.5" x14ac:dyDescent="0.35">
      <c r="A7" s="12" t="s">
        <v>70</v>
      </c>
      <c r="B7" s="28" t="s">
        <v>716</v>
      </c>
      <c r="C7" s="28"/>
      <c r="D7" s="28"/>
      <c r="E7" s="28"/>
      <c r="H7" s="17" t="s">
        <v>243</v>
      </c>
      <c r="I7" s="17" t="s">
        <v>717</v>
      </c>
    </row>
    <row r="8" spans="1:9" x14ac:dyDescent="0.35">
      <c r="A8" s="35" t="s">
        <v>718</v>
      </c>
      <c r="B8" s="35"/>
      <c r="C8" s="35"/>
      <c r="D8" s="35"/>
      <c r="E8" s="35"/>
    </row>
    <row r="10" spans="1:9" x14ac:dyDescent="0.35">
      <c r="A10" s="29" t="s">
        <v>72</v>
      </c>
      <c r="B10" s="15" t="s">
        <v>73</v>
      </c>
      <c r="C10" s="29" t="s">
        <v>74</v>
      </c>
      <c r="D10" s="29" t="s">
        <v>75</v>
      </c>
      <c r="E10" s="29" t="s">
        <v>76</v>
      </c>
    </row>
    <row r="11" spans="1:9" ht="46.5" x14ac:dyDescent="0.35">
      <c r="A11" s="29"/>
      <c r="B11" s="15" t="s">
        <v>710</v>
      </c>
      <c r="C11" s="29"/>
      <c r="D11" s="29"/>
      <c r="E11" s="29"/>
    </row>
    <row r="12" spans="1:9" ht="46.5" x14ac:dyDescent="0.35">
      <c r="A12" s="16" t="s">
        <v>719</v>
      </c>
      <c r="B12" s="13" t="s">
        <v>307</v>
      </c>
      <c r="C12" s="13" t="s">
        <v>720</v>
      </c>
      <c r="D12" s="13"/>
      <c r="E12" s="17" t="s">
        <v>5</v>
      </c>
    </row>
    <row r="13" spans="1:9" ht="46.5" x14ac:dyDescent="0.35">
      <c r="A13" s="16" t="s">
        <v>721</v>
      </c>
      <c r="B13" s="13" t="s">
        <v>86</v>
      </c>
      <c r="C13" s="13" t="s">
        <v>722</v>
      </c>
      <c r="D13" s="13"/>
      <c r="E13" s="17" t="s">
        <v>5</v>
      </c>
    </row>
    <row r="14" spans="1:9" x14ac:dyDescent="0.35">
      <c r="A14" s="16" t="s">
        <v>723</v>
      </c>
      <c r="B14" s="13" t="s">
        <v>712</v>
      </c>
      <c r="C14" s="13" t="s">
        <v>724</v>
      </c>
      <c r="D14" s="13" t="s">
        <v>724</v>
      </c>
      <c r="E14" s="17" t="s">
        <v>5</v>
      </c>
    </row>
    <row r="15" spans="1:9" ht="46.5" x14ac:dyDescent="0.35">
      <c r="A15" s="16" t="s">
        <v>725</v>
      </c>
      <c r="B15" s="13" t="s">
        <v>713</v>
      </c>
      <c r="C15" s="13" t="s">
        <v>726</v>
      </c>
      <c r="D15" s="13" t="s">
        <v>738</v>
      </c>
      <c r="E15" s="17" t="s">
        <v>5</v>
      </c>
    </row>
    <row r="16" spans="1:9" x14ac:dyDescent="0.35">
      <c r="A16" s="16" t="s">
        <v>727</v>
      </c>
      <c r="B16" s="13" t="s">
        <v>715</v>
      </c>
      <c r="C16" s="13" t="s">
        <v>728</v>
      </c>
      <c r="D16" s="13" t="s">
        <v>737</v>
      </c>
      <c r="E16" s="17" t="s">
        <v>5</v>
      </c>
    </row>
    <row r="17" spans="1:5" x14ac:dyDescent="0.35">
      <c r="A17" s="16" t="s">
        <v>729</v>
      </c>
      <c r="B17" s="13" t="s">
        <v>730</v>
      </c>
      <c r="C17" s="13" t="s">
        <v>739</v>
      </c>
      <c r="D17" s="13" t="s">
        <v>737</v>
      </c>
      <c r="E17" s="17" t="s">
        <v>5</v>
      </c>
    </row>
    <row r="18" spans="1:5" x14ac:dyDescent="0.35">
      <c r="A18" s="16" t="s">
        <v>731</v>
      </c>
      <c r="B18" s="13" t="s">
        <v>717</v>
      </c>
      <c r="C18" s="13" t="s">
        <v>732</v>
      </c>
      <c r="D18" s="13" t="s">
        <v>735</v>
      </c>
      <c r="E18" s="17" t="s">
        <v>5</v>
      </c>
    </row>
    <row r="19" spans="1:5" ht="46.5" x14ac:dyDescent="0.35">
      <c r="A19" s="16" t="s">
        <v>733</v>
      </c>
      <c r="B19" s="13" t="s">
        <v>734</v>
      </c>
      <c r="C19" s="13" t="s">
        <v>735</v>
      </c>
      <c r="D19" s="13" t="s">
        <v>736</v>
      </c>
      <c r="E19" s="17" t="s">
        <v>5</v>
      </c>
    </row>
  </sheetData>
  <mergeCells count="11">
    <mergeCell ref="B7:E7"/>
    <mergeCell ref="A1:E1"/>
    <mergeCell ref="B3:C3"/>
    <mergeCell ref="B4:C4"/>
    <mergeCell ref="B5:C5"/>
    <mergeCell ref="B6:E6"/>
    <mergeCell ref="A8:E8"/>
    <mergeCell ref="A10:A11"/>
    <mergeCell ref="C10:C11"/>
    <mergeCell ref="D10:D11"/>
    <mergeCell ref="E10:E11"/>
  </mergeCells>
  <conditionalFormatting sqref="E12:E19">
    <cfRule type="cellIs" dxfId="80" priority="1" operator="equal">
      <formula>"Pass"</formula>
    </cfRule>
    <cfRule type="cellIs" dxfId="79" priority="2" operator="equal">
      <formula>"Fail"</formula>
    </cfRule>
    <cfRule type="cellIs" dxfId="78" priority="3" operator="equal">
      <formula>"Block"</formula>
    </cfRule>
  </conditionalFormatting>
  <dataValidations count="1">
    <dataValidation type="list" allowBlank="1" sqref="E12:E19" xr:uid="{F5693CEB-D577-4041-A6F3-A39A911857DF}">
      <formula1>"Pass,Fail,No run,Block"</formula1>
      <formula2>0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D2F-D01A-4762-98C7-079E027DDEF2}">
  <dimension ref="A1:I31"/>
  <sheetViews>
    <sheetView topLeftCell="A26" workbookViewId="0">
      <selection activeCell="H28" sqref="H28"/>
    </sheetView>
  </sheetViews>
  <sheetFormatPr defaultColWidth="7.625" defaultRowHeight="23.25" x14ac:dyDescent="0.35"/>
  <cols>
    <col min="1" max="1" width="19.25" style="8" customWidth="1"/>
    <col min="2" max="4" width="14" style="8" customWidth="1"/>
    <col min="5" max="5" width="42" style="8" customWidth="1"/>
    <col min="6" max="6" width="29.25" style="8" customWidth="1"/>
    <col min="7" max="7" width="14.875" style="8" customWidth="1"/>
    <col min="8" max="8" width="12.25" style="8" customWidth="1"/>
    <col min="9" max="9" width="14.37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745</v>
      </c>
      <c r="C4" s="31"/>
      <c r="E4" s="11" t="s">
        <v>21</v>
      </c>
      <c r="F4" s="31" t="s">
        <v>38</v>
      </c>
      <c r="G4" s="31"/>
      <c r="H4" s="31"/>
      <c r="I4" s="31"/>
    </row>
    <row r="5" spans="1:9" ht="24" thickBot="1" x14ac:dyDescent="0.4">
      <c r="A5" s="11" t="s">
        <v>23</v>
      </c>
      <c r="B5" s="31" t="s">
        <v>746</v>
      </c>
      <c r="C5" s="31"/>
      <c r="E5" s="11" t="s">
        <v>25</v>
      </c>
      <c r="F5" s="31" t="s">
        <v>747</v>
      </c>
      <c r="G5" s="31"/>
      <c r="H5" s="31"/>
      <c r="I5" s="31"/>
    </row>
    <row r="6" spans="1:9" ht="24" thickBot="1" x14ac:dyDescent="0.4">
      <c r="A6" s="11" t="s">
        <v>27</v>
      </c>
      <c r="B6" s="31" t="s">
        <v>748</v>
      </c>
      <c r="C6" s="31"/>
      <c r="E6" s="11" t="s">
        <v>29</v>
      </c>
      <c r="F6" s="31" t="s">
        <v>749</v>
      </c>
      <c r="G6" s="31"/>
      <c r="H6" s="31"/>
      <c r="I6" s="31"/>
    </row>
    <row r="7" spans="1:9" ht="24" thickBot="1" x14ac:dyDescent="0.4">
      <c r="A7" s="11" t="s">
        <v>31</v>
      </c>
      <c r="B7" s="31" t="s">
        <v>750</v>
      </c>
      <c r="C7" s="31"/>
    </row>
    <row r="8" spans="1:9" ht="24" thickBot="1" x14ac:dyDescent="0.4">
      <c r="A8" s="11" t="s">
        <v>35</v>
      </c>
      <c r="B8" s="31" t="s">
        <v>751</v>
      </c>
      <c r="C8" s="31"/>
    </row>
    <row r="9" spans="1:9" ht="24" thickBot="1" x14ac:dyDescent="0.4">
      <c r="A9" s="11" t="s">
        <v>39</v>
      </c>
      <c r="B9" s="31" t="s">
        <v>752</v>
      </c>
      <c r="C9" s="31"/>
    </row>
    <row r="10" spans="1:9" ht="24" thickBot="1" x14ac:dyDescent="0.4">
      <c r="A10" s="11" t="s">
        <v>683</v>
      </c>
      <c r="B10" s="31" t="s">
        <v>753</v>
      </c>
      <c r="C10" s="31"/>
    </row>
    <row r="11" spans="1:9" ht="24" thickBot="1" x14ac:dyDescent="0.4">
      <c r="A11" s="11" t="s">
        <v>684</v>
      </c>
      <c r="B11" s="31" t="s">
        <v>754</v>
      </c>
      <c r="C11" s="31"/>
    </row>
    <row r="13" spans="1:9" x14ac:dyDescent="0.35">
      <c r="A13" s="30" t="s">
        <v>57</v>
      </c>
      <c r="B13" s="30"/>
      <c r="C13" s="30"/>
      <c r="D13" s="30"/>
      <c r="E13" s="30"/>
      <c r="F13" s="30"/>
      <c r="G13" s="30"/>
      <c r="H13" s="30"/>
      <c r="I13" s="30"/>
    </row>
    <row r="15" spans="1:9" x14ac:dyDescent="0.35">
      <c r="A15" s="12" t="s">
        <v>58</v>
      </c>
      <c r="B15" s="28" t="s">
        <v>755</v>
      </c>
      <c r="C15" s="28"/>
      <c r="D15" s="28"/>
      <c r="E15" s="28"/>
      <c r="F15" s="21"/>
      <c r="G15" s="21"/>
      <c r="H15" s="12" t="s">
        <v>60</v>
      </c>
      <c r="I15" s="14" t="s">
        <v>154</v>
      </c>
    </row>
    <row r="16" spans="1:9" x14ac:dyDescent="0.35">
      <c r="A16" s="12" t="s">
        <v>61</v>
      </c>
      <c r="B16" s="28" t="s">
        <v>62</v>
      </c>
      <c r="C16" s="28"/>
      <c r="D16" s="28"/>
      <c r="E16" s="28"/>
      <c r="F16" s="21"/>
      <c r="G16" s="21"/>
      <c r="H16" s="12" t="s">
        <v>63</v>
      </c>
      <c r="I16" s="14" t="s">
        <v>156</v>
      </c>
    </row>
    <row r="17" spans="1:9" ht="46.5" x14ac:dyDescent="0.35">
      <c r="A17" s="12" t="s">
        <v>64</v>
      </c>
      <c r="B17" s="28" t="s">
        <v>65</v>
      </c>
      <c r="C17" s="28"/>
      <c r="D17" s="28"/>
      <c r="E17" s="28"/>
      <c r="F17" s="21"/>
      <c r="G17" s="21"/>
      <c r="H17" s="12" t="s">
        <v>66</v>
      </c>
      <c r="I17" s="13" t="s">
        <v>67</v>
      </c>
    </row>
    <row r="18" spans="1:9" ht="46.5" x14ac:dyDescent="0.35">
      <c r="A18" s="12" t="s">
        <v>68</v>
      </c>
      <c r="B18" s="28" t="s">
        <v>756</v>
      </c>
      <c r="C18" s="28"/>
      <c r="D18" s="28"/>
      <c r="E18" s="28"/>
      <c r="F18" s="28"/>
      <c r="G18" s="28"/>
      <c r="H18" s="28"/>
      <c r="I18" s="28"/>
    </row>
    <row r="19" spans="1:9" ht="46.5" x14ac:dyDescent="0.35">
      <c r="A19" s="12" t="s">
        <v>70</v>
      </c>
      <c r="B19" s="28" t="s">
        <v>757</v>
      </c>
      <c r="C19" s="28"/>
      <c r="D19" s="28"/>
      <c r="E19" s="28"/>
      <c r="F19" s="28"/>
      <c r="G19" s="28"/>
      <c r="H19" s="28"/>
      <c r="I19" s="28"/>
    </row>
    <row r="21" spans="1:9" x14ac:dyDescent="0.35">
      <c r="A21" s="29" t="s">
        <v>72</v>
      </c>
      <c r="B21" s="29" t="s">
        <v>73</v>
      </c>
      <c r="C21" s="29"/>
      <c r="D21" s="29"/>
      <c r="E21" s="29" t="s">
        <v>74</v>
      </c>
      <c r="F21" s="29" t="s">
        <v>75</v>
      </c>
      <c r="G21" s="29" t="s">
        <v>76</v>
      </c>
    </row>
    <row r="22" spans="1:9" ht="46.5" x14ac:dyDescent="0.35">
      <c r="A22" s="29"/>
      <c r="B22" s="15" t="s">
        <v>758</v>
      </c>
      <c r="C22" s="15" t="s">
        <v>79</v>
      </c>
      <c r="D22" s="15" t="s">
        <v>161</v>
      </c>
      <c r="E22" s="29"/>
      <c r="F22" s="29"/>
      <c r="G22" s="29"/>
    </row>
    <row r="23" spans="1:9" ht="97.5" customHeight="1" x14ac:dyDescent="0.35">
      <c r="A23" s="16" t="s">
        <v>759</v>
      </c>
      <c r="B23" s="13" t="s">
        <v>760</v>
      </c>
      <c r="C23" s="13" t="s">
        <v>86</v>
      </c>
      <c r="D23" s="13" t="s">
        <v>761</v>
      </c>
      <c r="E23" s="13" t="s">
        <v>762</v>
      </c>
      <c r="F23" s="13" t="s">
        <v>787</v>
      </c>
      <c r="G23" s="17" t="s">
        <v>5</v>
      </c>
    </row>
    <row r="24" spans="1:9" x14ac:dyDescent="0.35">
      <c r="A24" s="16" t="s">
        <v>763</v>
      </c>
      <c r="B24" s="13" t="s">
        <v>93</v>
      </c>
      <c r="C24" s="13" t="s">
        <v>86</v>
      </c>
      <c r="D24" s="13" t="s">
        <v>764</v>
      </c>
      <c r="E24" s="13" t="s">
        <v>765</v>
      </c>
      <c r="F24" s="13" t="s">
        <v>785</v>
      </c>
      <c r="G24" s="17" t="s">
        <v>5</v>
      </c>
    </row>
    <row r="25" spans="1:9" ht="69.75" x14ac:dyDescent="0.35">
      <c r="A25" s="16" t="s">
        <v>766</v>
      </c>
      <c r="B25" s="13" t="s">
        <v>760</v>
      </c>
      <c r="C25" s="13" t="s">
        <v>86</v>
      </c>
      <c r="D25" s="13" t="s">
        <v>767</v>
      </c>
      <c r="E25" s="13" t="s">
        <v>768</v>
      </c>
      <c r="F25" s="13" t="s">
        <v>738</v>
      </c>
      <c r="G25" s="17" t="s">
        <v>5</v>
      </c>
    </row>
    <row r="26" spans="1:9" ht="46.5" x14ac:dyDescent="0.35">
      <c r="A26" s="16" t="s">
        <v>769</v>
      </c>
      <c r="B26" s="13" t="s">
        <v>760</v>
      </c>
      <c r="C26" s="13" t="s">
        <v>86</v>
      </c>
      <c r="D26" s="13" t="s">
        <v>770</v>
      </c>
      <c r="E26" s="13" t="s">
        <v>771</v>
      </c>
      <c r="F26" s="13" t="s">
        <v>786</v>
      </c>
      <c r="G26" s="17" t="s">
        <v>5</v>
      </c>
    </row>
    <row r="27" spans="1:9" ht="116.25" x14ac:dyDescent="0.35">
      <c r="A27" s="16" t="s">
        <v>772</v>
      </c>
      <c r="B27" s="13" t="s">
        <v>760</v>
      </c>
      <c r="C27" s="13" t="s">
        <v>86</v>
      </c>
      <c r="D27" s="13" t="s">
        <v>773</v>
      </c>
      <c r="E27" s="13" t="s">
        <v>774</v>
      </c>
      <c r="F27" s="13" t="s">
        <v>788</v>
      </c>
      <c r="G27" s="17" t="s">
        <v>5</v>
      </c>
    </row>
    <row r="28" spans="1:9" ht="116.25" x14ac:dyDescent="0.35">
      <c r="A28" s="16" t="s">
        <v>775</v>
      </c>
      <c r="B28" s="13" t="s">
        <v>760</v>
      </c>
      <c r="C28" s="13" t="s">
        <v>86</v>
      </c>
      <c r="D28" s="13" t="s">
        <v>776</v>
      </c>
      <c r="E28" s="13" t="s">
        <v>790</v>
      </c>
      <c r="F28" s="13" t="s">
        <v>791</v>
      </c>
      <c r="G28" s="17" t="s">
        <v>5</v>
      </c>
    </row>
    <row r="29" spans="1:9" x14ac:dyDescent="0.35">
      <c r="A29" s="16" t="s">
        <v>777</v>
      </c>
      <c r="B29" s="13" t="s">
        <v>760</v>
      </c>
      <c r="C29" s="13" t="s">
        <v>104</v>
      </c>
      <c r="D29" s="13" t="s">
        <v>85</v>
      </c>
      <c r="E29" s="13" t="s">
        <v>778</v>
      </c>
      <c r="F29" s="13" t="s">
        <v>99</v>
      </c>
      <c r="G29" s="17" t="s">
        <v>5</v>
      </c>
    </row>
    <row r="30" spans="1:9" ht="46.5" x14ac:dyDescent="0.35">
      <c r="A30" s="16" t="s">
        <v>779</v>
      </c>
      <c r="B30" s="13" t="s">
        <v>760</v>
      </c>
      <c r="C30" s="13" t="s">
        <v>107</v>
      </c>
      <c r="D30" s="13" t="s">
        <v>780</v>
      </c>
      <c r="E30" s="13" t="s">
        <v>781</v>
      </c>
      <c r="F30" s="13" t="s">
        <v>102</v>
      </c>
      <c r="G30" s="17" t="s">
        <v>5</v>
      </c>
    </row>
    <row r="31" spans="1:9" ht="93" x14ac:dyDescent="0.35">
      <c r="A31" s="16" t="s">
        <v>782</v>
      </c>
      <c r="B31" s="13" t="s">
        <v>760</v>
      </c>
      <c r="C31" s="13" t="s">
        <v>86</v>
      </c>
      <c r="D31" s="13" t="s">
        <v>783</v>
      </c>
      <c r="E31" s="13" t="s">
        <v>784</v>
      </c>
      <c r="F31" s="13" t="s">
        <v>789</v>
      </c>
      <c r="G31" s="17" t="s">
        <v>5</v>
      </c>
    </row>
  </sheetData>
  <mergeCells count="26">
    <mergeCell ref="A1:I1"/>
    <mergeCell ref="E2:F2"/>
    <mergeCell ref="B3:C3"/>
    <mergeCell ref="F3:I3"/>
    <mergeCell ref="B4:C4"/>
    <mergeCell ref="F4:I4"/>
    <mergeCell ref="B16:E16"/>
    <mergeCell ref="B5:C5"/>
    <mergeCell ref="F5:I5"/>
    <mergeCell ref="B6:C6"/>
    <mergeCell ref="F6:I6"/>
    <mergeCell ref="B7:C7"/>
    <mergeCell ref="B8:C8"/>
    <mergeCell ref="B9:C9"/>
    <mergeCell ref="B10:C10"/>
    <mergeCell ref="B11:C11"/>
    <mergeCell ref="A13:I13"/>
    <mergeCell ref="B15:E15"/>
    <mergeCell ref="B17:E17"/>
    <mergeCell ref="B18:I18"/>
    <mergeCell ref="B19:I19"/>
    <mergeCell ref="A21:A22"/>
    <mergeCell ref="B21:D21"/>
    <mergeCell ref="E21:E22"/>
    <mergeCell ref="F21:F22"/>
    <mergeCell ref="G21:G22"/>
  </mergeCells>
  <conditionalFormatting sqref="G23:G31">
    <cfRule type="cellIs" dxfId="77" priority="1" operator="equal">
      <formula>"Pass"</formula>
    </cfRule>
    <cfRule type="cellIs" dxfId="76" priority="2" operator="equal">
      <formula>"Fail"</formula>
    </cfRule>
    <cfRule type="cellIs" dxfId="75" priority="3" operator="equal">
      <formula>"Block"</formula>
    </cfRule>
  </conditionalFormatting>
  <dataValidations count="1">
    <dataValidation type="list" allowBlank="1" sqref="G23:G31" xr:uid="{4B692064-9C1A-4960-8717-E4AA58133272}">
      <formula1>"Pass,Fail,No run,Block"</formula1>
      <formula2>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BD97-2BD1-46BE-A1EF-D9D2695D3435}">
  <dimension ref="A1:I29"/>
  <sheetViews>
    <sheetView topLeftCell="A12" workbookViewId="0">
      <selection activeCell="I21" sqref="I21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40.25" style="8" customWidth="1"/>
    <col min="5" max="5" width="28.25" style="8" customWidth="1"/>
    <col min="6" max="6" width="14.875" style="8" customWidth="1"/>
    <col min="7" max="8" width="12.25" style="8" customWidth="1"/>
    <col min="9" max="9" width="16.62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792</v>
      </c>
      <c r="C4" s="31"/>
      <c r="E4" s="11" t="s">
        <v>85</v>
      </c>
      <c r="F4" s="31" t="s">
        <v>793</v>
      </c>
      <c r="G4" s="31"/>
      <c r="H4" s="31"/>
      <c r="I4" s="31"/>
    </row>
    <row r="5" spans="1:9" ht="24" thickBot="1" x14ac:dyDescent="0.4">
      <c r="A5" s="11" t="s">
        <v>23</v>
      </c>
      <c r="B5" s="31" t="s">
        <v>794</v>
      </c>
      <c r="C5" s="31"/>
    </row>
    <row r="6" spans="1:9" ht="24" thickBot="1" x14ac:dyDescent="0.4">
      <c r="A6" s="11" t="s">
        <v>27</v>
      </c>
      <c r="B6" s="31" t="s">
        <v>795</v>
      </c>
      <c r="C6" s="31"/>
    </row>
    <row r="7" spans="1:9" ht="24" thickBot="1" x14ac:dyDescent="0.4">
      <c r="A7" s="11" t="s">
        <v>31</v>
      </c>
      <c r="B7" s="31" t="s">
        <v>796</v>
      </c>
      <c r="C7" s="31"/>
    </row>
    <row r="8" spans="1:9" ht="24" thickBot="1" x14ac:dyDescent="0.4">
      <c r="A8" s="11" t="s">
        <v>35</v>
      </c>
      <c r="B8" s="31" t="s">
        <v>797</v>
      </c>
      <c r="C8" s="31"/>
    </row>
    <row r="9" spans="1:9" ht="24" thickBot="1" x14ac:dyDescent="0.4">
      <c r="A9" s="11" t="s">
        <v>39</v>
      </c>
      <c r="B9" s="31" t="s">
        <v>798</v>
      </c>
      <c r="C9" s="31"/>
    </row>
    <row r="10" spans="1:9" ht="24" thickBot="1" x14ac:dyDescent="0.4">
      <c r="A10" s="11" t="s">
        <v>683</v>
      </c>
      <c r="B10" s="31" t="s">
        <v>799</v>
      </c>
      <c r="C10" s="31"/>
    </row>
    <row r="12" spans="1:9" x14ac:dyDescent="0.35">
      <c r="A12" s="30" t="s">
        <v>57</v>
      </c>
      <c r="B12" s="30"/>
      <c r="C12" s="30"/>
      <c r="D12" s="30"/>
      <c r="E12" s="30"/>
      <c r="F12" s="30"/>
      <c r="G12" s="30"/>
      <c r="H12" s="30"/>
      <c r="I12" s="30"/>
    </row>
    <row r="14" spans="1:9" x14ac:dyDescent="0.35">
      <c r="A14" s="12" t="s">
        <v>58</v>
      </c>
      <c r="B14" s="28" t="s">
        <v>800</v>
      </c>
      <c r="C14" s="28"/>
      <c r="D14" s="28"/>
      <c r="E14" s="21"/>
      <c r="F14" s="21"/>
      <c r="G14" s="21"/>
      <c r="H14" s="12" t="s">
        <v>60</v>
      </c>
      <c r="I14" s="14" t="s">
        <v>154</v>
      </c>
    </row>
    <row r="15" spans="1:9" x14ac:dyDescent="0.35">
      <c r="A15" s="12" t="s">
        <v>61</v>
      </c>
      <c r="B15" s="28" t="s">
        <v>801</v>
      </c>
      <c r="C15" s="28"/>
      <c r="D15" s="28"/>
      <c r="E15" s="21"/>
      <c r="F15" s="21"/>
      <c r="G15" s="21"/>
      <c r="H15" s="12" t="s">
        <v>63</v>
      </c>
      <c r="I15" s="14" t="s">
        <v>156</v>
      </c>
    </row>
    <row r="16" spans="1:9" ht="46.5" x14ac:dyDescent="0.35">
      <c r="A16" s="12" t="s">
        <v>64</v>
      </c>
      <c r="B16" s="28" t="s">
        <v>65</v>
      </c>
      <c r="C16" s="28"/>
      <c r="D16" s="28"/>
      <c r="E16" s="21"/>
      <c r="F16" s="21"/>
      <c r="G16" s="21"/>
      <c r="H16" s="12" t="s">
        <v>66</v>
      </c>
      <c r="I16" s="13" t="s">
        <v>67</v>
      </c>
    </row>
    <row r="17" spans="1:9" ht="46.5" x14ac:dyDescent="0.35">
      <c r="A17" s="12" t="s">
        <v>68</v>
      </c>
      <c r="B17" s="28" t="s">
        <v>802</v>
      </c>
      <c r="C17" s="28"/>
      <c r="D17" s="28"/>
      <c r="E17" s="28"/>
      <c r="F17" s="28"/>
      <c r="G17" s="28"/>
      <c r="H17" s="28"/>
      <c r="I17" s="28"/>
    </row>
    <row r="18" spans="1:9" ht="46.5" x14ac:dyDescent="0.35">
      <c r="A18" s="12" t="s">
        <v>70</v>
      </c>
      <c r="B18" s="28" t="s">
        <v>829</v>
      </c>
      <c r="C18" s="28"/>
      <c r="D18" s="28"/>
      <c r="E18" s="28"/>
      <c r="F18" s="28"/>
      <c r="G18" s="28"/>
      <c r="H18" s="28"/>
      <c r="I18" s="28"/>
    </row>
    <row r="20" spans="1:9" x14ac:dyDescent="0.35">
      <c r="A20" s="29" t="s">
        <v>72</v>
      </c>
      <c r="B20" s="29" t="s">
        <v>73</v>
      </c>
      <c r="C20" s="29"/>
      <c r="D20" s="29" t="s">
        <v>74</v>
      </c>
      <c r="E20" s="29" t="s">
        <v>75</v>
      </c>
      <c r="F20" s="29" t="s">
        <v>76</v>
      </c>
    </row>
    <row r="21" spans="1:9" x14ac:dyDescent="0.35">
      <c r="A21" s="29"/>
      <c r="B21" s="15" t="s">
        <v>803</v>
      </c>
      <c r="C21" s="15" t="s">
        <v>804</v>
      </c>
      <c r="D21" s="29"/>
      <c r="E21" s="29"/>
      <c r="F21" s="29"/>
    </row>
    <row r="22" spans="1:9" ht="116.25" x14ac:dyDescent="0.35">
      <c r="A22" s="16" t="s">
        <v>805</v>
      </c>
      <c r="B22" s="13" t="s">
        <v>806</v>
      </c>
      <c r="C22" s="13" t="s">
        <v>807</v>
      </c>
      <c r="D22" s="13" t="s">
        <v>808</v>
      </c>
      <c r="E22" s="13" t="s">
        <v>835</v>
      </c>
      <c r="F22" s="17" t="s">
        <v>5</v>
      </c>
    </row>
    <row r="23" spans="1:9" ht="99" customHeight="1" x14ac:dyDescent="0.35">
      <c r="A23" s="16" t="s">
        <v>809</v>
      </c>
      <c r="B23" s="13" t="s">
        <v>810</v>
      </c>
      <c r="C23" s="13" t="s">
        <v>807</v>
      </c>
      <c r="D23" s="13" t="s">
        <v>811</v>
      </c>
      <c r="E23" s="13" t="s">
        <v>834</v>
      </c>
      <c r="F23" s="17" t="s">
        <v>5</v>
      </c>
    </row>
    <row r="24" spans="1:9" ht="53.25" customHeight="1" x14ac:dyDescent="0.35">
      <c r="A24" s="16" t="s">
        <v>812</v>
      </c>
      <c r="B24" s="13" t="s">
        <v>806</v>
      </c>
      <c r="C24" s="13" t="s">
        <v>794</v>
      </c>
      <c r="D24" s="13" t="s">
        <v>813</v>
      </c>
      <c r="E24" s="13" t="s">
        <v>833</v>
      </c>
      <c r="F24" s="17" t="s">
        <v>5</v>
      </c>
    </row>
    <row r="25" spans="1:9" ht="69.75" x14ac:dyDescent="0.35">
      <c r="A25" s="16" t="s">
        <v>814</v>
      </c>
      <c r="B25" s="13" t="s">
        <v>806</v>
      </c>
      <c r="C25" s="13" t="s">
        <v>815</v>
      </c>
      <c r="D25" s="13" t="s">
        <v>816</v>
      </c>
      <c r="E25" s="13" t="s">
        <v>832</v>
      </c>
      <c r="F25" s="17" t="s">
        <v>5</v>
      </c>
    </row>
    <row r="26" spans="1:9" ht="46.5" x14ac:dyDescent="0.35">
      <c r="A26" s="16" t="s">
        <v>817</v>
      </c>
      <c r="B26" s="13" t="s">
        <v>810</v>
      </c>
      <c r="C26" s="13" t="s">
        <v>796</v>
      </c>
      <c r="D26" s="13" t="s">
        <v>818</v>
      </c>
      <c r="E26" s="13" t="s">
        <v>796</v>
      </c>
      <c r="F26" s="17" t="s">
        <v>5</v>
      </c>
    </row>
    <row r="27" spans="1:9" ht="55.5" customHeight="1" x14ac:dyDescent="0.35">
      <c r="A27" s="16" t="s">
        <v>819</v>
      </c>
      <c r="B27" s="13" t="s">
        <v>806</v>
      </c>
      <c r="C27" s="13" t="s">
        <v>820</v>
      </c>
      <c r="D27" s="13" t="s">
        <v>821</v>
      </c>
      <c r="E27" s="13" t="s">
        <v>831</v>
      </c>
      <c r="F27" s="17" t="s">
        <v>5</v>
      </c>
    </row>
    <row r="28" spans="1:9" ht="93" x14ac:dyDescent="0.35">
      <c r="A28" s="16" t="s">
        <v>822</v>
      </c>
      <c r="B28" s="13" t="s">
        <v>823</v>
      </c>
      <c r="C28" s="13" t="s">
        <v>93</v>
      </c>
      <c r="D28" s="13" t="s">
        <v>824</v>
      </c>
      <c r="E28" s="13" t="s">
        <v>93</v>
      </c>
      <c r="F28" s="17" t="s">
        <v>5</v>
      </c>
    </row>
    <row r="29" spans="1:9" ht="93" x14ac:dyDescent="0.35">
      <c r="A29" s="16" t="s">
        <v>825</v>
      </c>
      <c r="B29" s="13" t="s">
        <v>826</v>
      </c>
      <c r="C29" s="13" t="s">
        <v>827</v>
      </c>
      <c r="D29" s="13" t="s">
        <v>828</v>
      </c>
      <c r="E29" s="13" t="s">
        <v>830</v>
      </c>
      <c r="F29" s="17" t="s">
        <v>5</v>
      </c>
    </row>
  </sheetData>
  <mergeCells count="23">
    <mergeCell ref="B10:C10"/>
    <mergeCell ref="A1:I1"/>
    <mergeCell ref="E2:F2"/>
    <mergeCell ref="B3:C3"/>
    <mergeCell ref="F3:I3"/>
    <mergeCell ref="B4:C4"/>
    <mergeCell ref="F4:I4"/>
    <mergeCell ref="B5:C5"/>
    <mergeCell ref="B6:C6"/>
    <mergeCell ref="B7:C7"/>
    <mergeCell ref="B8:C8"/>
    <mergeCell ref="B9:C9"/>
    <mergeCell ref="A12:I12"/>
    <mergeCell ref="B14:D14"/>
    <mergeCell ref="B15:D15"/>
    <mergeCell ref="B16:D16"/>
    <mergeCell ref="B17:I17"/>
    <mergeCell ref="B18:I18"/>
    <mergeCell ref="A20:A21"/>
    <mergeCell ref="B20:C20"/>
    <mergeCell ref="D20:D21"/>
    <mergeCell ref="E20:E21"/>
    <mergeCell ref="F20:F21"/>
  </mergeCells>
  <conditionalFormatting sqref="F22:F29">
    <cfRule type="cellIs" dxfId="74" priority="1" operator="equal">
      <formula>"Pass"</formula>
    </cfRule>
    <cfRule type="cellIs" dxfId="73" priority="2" operator="equal">
      <formula>"Fail"</formula>
    </cfRule>
    <cfRule type="cellIs" dxfId="72" priority="3" operator="equal">
      <formula>"Block"</formula>
    </cfRule>
  </conditionalFormatting>
  <dataValidations count="1">
    <dataValidation type="list" allowBlank="1" sqref="F22:F29" xr:uid="{FFB14C75-2281-4BC8-BEDD-EB79111A9A0D}">
      <formula1>"Pass,Fail,No run,Block"</formula1>
      <formula2>0</formula2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2B48-1EB3-45EF-9D80-492D399D049E}">
  <dimension ref="A1:I36"/>
  <sheetViews>
    <sheetView topLeftCell="A11" workbookViewId="0">
      <selection activeCell="J35" sqref="J35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38.5" style="8" customWidth="1"/>
    <col min="7" max="7" width="37.125" style="8" customWidth="1"/>
    <col min="8" max="8" width="14.875" style="8" customWidth="1"/>
    <col min="9" max="9" width="14.625" style="8" customWidth="1"/>
    <col min="10" max="16384" width="7.625" style="8"/>
  </cols>
  <sheetData>
    <row r="1" spans="1:9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  <c r="I1" s="19" t="s">
        <v>133</v>
      </c>
    </row>
    <row r="2" spans="1:9" x14ac:dyDescent="0.35">
      <c r="A2" s="13" t="s">
        <v>845</v>
      </c>
      <c r="B2" s="17" t="s">
        <v>135</v>
      </c>
      <c r="C2" s="17" t="s">
        <v>136</v>
      </c>
      <c r="D2" s="17" t="s">
        <v>136</v>
      </c>
      <c r="E2" s="17" t="s">
        <v>136</v>
      </c>
      <c r="F2" s="17" t="s">
        <v>136</v>
      </c>
      <c r="G2" s="17" t="s">
        <v>136</v>
      </c>
      <c r="H2" s="17" t="s">
        <v>136</v>
      </c>
      <c r="I2" s="17" t="s">
        <v>136</v>
      </c>
    </row>
    <row r="3" spans="1:9" ht="46.5" x14ac:dyDescent="0.35">
      <c r="A3" s="13" t="s">
        <v>846</v>
      </c>
      <c r="B3" s="17" t="s">
        <v>85</v>
      </c>
      <c r="C3" s="17" t="s">
        <v>135</v>
      </c>
      <c r="D3" s="17" t="s">
        <v>136</v>
      </c>
      <c r="E3" s="17" t="s">
        <v>136</v>
      </c>
      <c r="F3" s="17" t="s">
        <v>136</v>
      </c>
      <c r="G3" s="17" t="s">
        <v>136</v>
      </c>
      <c r="H3" s="17" t="s">
        <v>136</v>
      </c>
      <c r="I3" s="17" t="s">
        <v>136</v>
      </c>
    </row>
    <row r="4" spans="1:9" x14ac:dyDescent="0.35">
      <c r="A4" s="13" t="s">
        <v>847</v>
      </c>
      <c r="B4" s="17" t="s">
        <v>85</v>
      </c>
      <c r="C4" s="17" t="s">
        <v>85</v>
      </c>
      <c r="D4" s="17" t="s">
        <v>136</v>
      </c>
      <c r="E4" s="17" t="s">
        <v>135</v>
      </c>
      <c r="F4" s="17" t="s">
        <v>135</v>
      </c>
      <c r="G4" s="17" t="s">
        <v>135</v>
      </c>
      <c r="H4" s="17" t="s">
        <v>135</v>
      </c>
      <c r="I4" s="17" t="s">
        <v>135</v>
      </c>
    </row>
    <row r="5" spans="1:9" ht="46.5" x14ac:dyDescent="0.35">
      <c r="A5" s="13" t="s">
        <v>848</v>
      </c>
      <c r="B5" s="17" t="s">
        <v>85</v>
      </c>
      <c r="C5" s="17" t="s">
        <v>85</v>
      </c>
      <c r="D5" s="17" t="s">
        <v>85</v>
      </c>
      <c r="E5" s="17" t="s">
        <v>135</v>
      </c>
      <c r="F5" s="17" t="s">
        <v>136</v>
      </c>
      <c r="G5" s="17" t="s">
        <v>136</v>
      </c>
      <c r="H5" s="17" t="s">
        <v>136</v>
      </c>
      <c r="I5" s="17" t="s">
        <v>136</v>
      </c>
    </row>
    <row r="6" spans="1:9" x14ac:dyDescent="0.35">
      <c r="A6" s="13" t="s">
        <v>849</v>
      </c>
      <c r="B6" s="17" t="s">
        <v>85</v>
      </c>
      <c r="C6" s="17" t="s">
        <v>85</v>
      </c>
      <c r="D6" s="17" t="s">
        <v>85</v>
      </c>
      <c r="E6" s="17" t="s">
        <v>85</v>
      </c>
      <c r="F6" s="17" t="s">
        <v>136</v>
      </c>
      <c r="G6" s="17" t="s">
        <v>135</v>
      </c>
      <c r="H6" s="17" t="s">
        <v>135</v>
      </c>
      <c r="I6" s="17" t="s">
        <v>135</v>
      </c>
    </row>
    <row r="7" spans="1:9" ht="46.5" x14ac:dyDescent="0.35">
      <c r="A7" s="13" t="s">
        <v>850</v>
      </c>
      <c r="B7" s="17" t="s">
        <v>85</v>
      </c>
      <c r="C7" s="17" t="s">
        <v>85</v>
      </c>
      <c r="D7" s="17" t="s">
        <v>85</v>
      </c>
      <c r="E7" s="17" t="s">
        <v>85</v>
      </c>
      <c r="F7" s="17" t="s">
        <v>85</v>
      </c>
      <c r="G7" s="17" t="s">
        <v>136</v>
      </c>
      <c r="H7" s="17" t="s">
        <v>135</v>
      </c>
      <c r="I7" s="17" t="s">
        <v>135</v>
      </c>
    </row>
    <row r="8" spans="1:9" ht="46.5" x14ac:dyDescent="0.35">
      <c r="A8" s="13" t="s">
        <v>851</v>
      </c>
      <c r="B8" s="17" t="s">
        <v>85</v>
      </c>
      <c r="C8" s="17" t="s">
        <v>85</v>
      </c>
      <c r="D8" s="17" t="s">
        <v>85</v>
      </c>
      <c r="E8" s="17" t="s">
        <v>85</v>
      </c>
      <c r="F8" s="17" t="s">
        <v>85</v>
      </c>
      <c r="G8" s="17" t="s">
        <v>85</v>
      </c>
      <c r="H8" s="17" t="s">
        <v>136</v>
      </c>
      <c r="I8" s="17" t="s">
        <v>135</v>
      </c>
    </row>
    <row r="9" spans="1:9" x14ac:dyDescent="0.35">
      <c r="A9" s="18" t="s">
        <v>143</v>
      </c>
      <c r="B9" s="20"/>
      <c r="C9" s="20"/>
      <c r="D9" s="20"/>
      <c r="E9" s="20"/>
      <c r="F9" s="20"/>
      <c r="G9" s="20"/>
      <c r="H9" s="20"/>
      <c r="I9" s="20"/>
    </row>
    <row r="10" spans="1:9" ht="46.5" x14ac:dyDescent="0.35">
      <c r="A10" s="13" t="s">
        <v>852</v>
      </c>
      <c r="B10" s="17" t="s">
        <v>145</v>
      </c>
      <c r="C10" s="17"/>
      <c r="D10" s="17"/>
      <c r="E10" s="17"/>
      <c r="F10" s="17"/>
      <c r="G10" s="17"/>
      <c r="H10" s="17"/>
      <c r="I10" s="17"/>
    </row>
    <row r="11" spans="1:9" ht="46.5" x14ac:dyDescent="0.35">
      <c r="A11" s="13" t="s">
        <v>853</v>
      </c>
      <c r="B11" s="17"/>
      <c r="C11" s="17" t="s">
        <v>145</v>
      </c>
      <c r="D11" s="17"/>
      <c r="E11" s="17"/>
      <c r="F11" s="17"/>
      <c r="G11" s="17"/>
      <c r="H11" s="17"/>
      <c r="I11" s="17"/>
    </row>
    <row r="12" spans="1:9" x14ac:dyDescent="0.35">
      <c r="A12" s="13" t="s">
        <v>854</v>
      </c>
      <c r="B12" s="17"/>
      <c r="C12" s="17"/>
      <c r="D12" s="17" t="s">
        <v>145</v>
      </c>
      <c r="E12" s="17"/>
      <c r="F12" s="17"/>
      <c r="G12" s="17"/>
      <c r="H12" s="17"/>
      <c r="I12" s="17"/>
    </row>
    <row r="13" spans="1:9" x14ac:dyDescent="0.35">
      <c r="A13" s="13" t="s">
        <v>855</v>
      </c>
      <c r="B13" s="17"/>
      <c r="C13" s="17"/>
      <c r="D13" s="17"/>
      <c r="E13" s="17" t="s">
        <v>145</v>
      </c>
      <c r="F13" s="17"/>
      <c r="G13" s="17"/>
      <c r="H13" s="17"/>
      <c r="I13" s="17"/>
    </row>
    <row r="14" spans="1:9" ht="46.5" x14ac:dyDescent="0.35">
      <c r="A14" s="13" t="s">
        <v>856</v>
      </c>
      <c r="B14" s="17"/>
      <c r="C14" s="17"/>
      <c r="D14" s="17"/>
      <c r="E14" s="17"/>
      <c r="F14" s="17" t="s">
        <v>145</v>
      </c>
      <c r="G14" s="17"/>
      <c r="H14" s="17"/>
      <c r="I14" s="17"/>
    </row>
    <row r="15" spans="1:9" ht="46.5" x14ac:dyDescent="0.35">
      <c r="A15" s="13" t="s">
        <v>857</v>
      </c>
      <c r="B15" s="17"/>
      <c r="C15" s="17"/>
      <c r="D15" s="17"/>
      <c r="E15" s="17"/>
      <c r="F15" s="17"/>
      <c r="G15" s="17" t="s">
        <v>145</v>
      </c>
      <c r="H15" s="17"/>
      <c r="I15" s="17"/>
    </row>
    <row r="16" spans="1:9" ht="46.5" x14ac:dyDescent="0.35">
      <c r="A16" s="13" t="s">
        <v>858</v>
      </c>
      <c r="B16" s="17"/>
      <c r="C16" s="17"/>
      <c r="D16" s="17"/>
      <c r="E16" s="17"/>
      <c r="F16" s="17"/>
      <c r="G16" s="17"/>
      <c r="H16" s="17" t="s">
        <v>145</v>
      </c>
      <c r="I16" s="17" t="s">
        <v>145</v>
      </c>
    </row>
    <row r="17" spans="1:9" x14ac:dyDescent="0.35">
      <c r="A17" s="13" t="s">
        <v>151</v>
      </c>
      <c r="B17" s="17"/>
      <c r="C17" s="17"/>
      <c r="D17" s="17"/>
      <c r="E17" s="17"/>
      <c r="F17" s="17"/>
      <c r="G17" s="17"/>
      <c r="H17" s="17"/>
      <c r="I17" s="17"/>
    </row>
    <row r="19" spans="1:9" x14ac:dyDescent="0.35">
      <c r="A19" s="30" t="s">
        <v>57</v>
      </c>
      <c r="B19" s="30"/>
      <c r="C19" s="30"/>
      <c r="D19" s="30"/>
      <c r="E19" s="30"/>
      <c r="F19" s="30"/>
      <c r="G19" s="30"/>
      <c r="H19" s="30"/>
      <c r="I19" s="30"/>
    </row>
    <row r="21" spans="1:9" x14ac:dyDescent="0.35">
      <c r="A21" s="12" t="s">
        <v>58</v>
      </c>
      <c r="B21" s="28" t="s">
        <v>859</v>
      </c>
      <c r="C21" s="28"/>
      <c r="D21" s="28"/>
      <c r="E21" s="28"/>
      <c r="F21" s="28"/>
      <c r="G21" s="21"/>
      <c r="H21" s="12" t="s">
        <v>60</v>
      </c>
      <c r="I21" s="14" t="s">
        <v>154</v>
      </c>
    </row>
    <row r="22" spans="1:9" x14ac:dyDescent="0.35">
      <c r="A22" s="12" t="s">
        <v>61</v>
      </c>
      <c r="B22" s="28" t="s">
        <v>155</v>
      </c>
      <c r="C22" s="28"/>
      <c r="D22" s="28"/>
      <c r="E22" s="28"/>
      <c r="F22" s="28"/>
      <c r="G22" s="21"/>
      <c r="H22" s="12" t="s">
        <v>63</v>
      </c>
      <c r="I22" s="14" t="s">
        <v>156</v>
      </c>
    </row>
    <row r="23" spans="1:9" x14ac:dyDescent="0.35">
      <c r="A23" s="12" t="s">
        <v>64</v>
      </c>
      <c r="B23" s="28" t="s">
        <v>65</v>
      </c>
      <c r="C23" s="28"/>
      <c r="D23" s="28"/>
      <c r="E23" s="28"/>
      <c r="F23" s="28"/>
      <c r="G23" s="21"/>
      <c r="H23" s="12" t="s">
        <v>66</v>
      </c>
      <c r="I23" s="13" t="s">
        <v>67</v>
      </c>
    </row>
    <row r="24" spans="1:9" x14ac:dyDescent="0.35">
      <c r="A24" s="12" t="s">
        <v>68</v>
      </c>
      <c r="B24" s="28" t="s">
        <v>860</v>
      </c>
      <c r="C24" s="28"/>
      <c r="D24" s="28"/>
      <c r="E24" s="28"/>
      <c r="F24" s="28"/>
      <c r="G24" s="28"/>
      <c r="H24" s="28"/>
      <c r="I24" s="28"/>
    </row>
    <row r="25" spans="1:9" x14ac:dyDescent="0.35">
      <c r="A25" s="12" t="s">
        <v>70</v>
      </c>
      <c r="B25" s="28" t="s">
        <v>861</v>
      </c>
      <c r="C25" s="28"/>
      <c r="D25" s="28"/>
      <c r="E25" s="28"/>
      <c r="F25" s="28"/>
      <c r="G25" s="28"/>
      <c r="H25" s="28"/>
      <c r="I25" s="28"/>
    </row>
    <row r="27" spans="1:9" x14ac:dyDescent="0.35">
      <c r="A27" s="29" t="s">
        <v>159</v>
      </c>
      <c r="B27" s="29" t="s">
        <v>72</v>
      </c>
      <c r="C27" s="29" t="s">
        <v>73</v>
      </c>
      <c r="D27" s="29"/>
      <c r="E27" s="29"/>
      <c r="F27" s="29" t="s">
        <v>74</v>
      </c>
      <c r="G27" s="29" t="s">
        <v>75</v>
      </c>
      <c r="H27" s="29" t="s">
        <v>76</v>
      </c>
    </row>
    <row r="28" spans="1:9" ht="46.5" x14ac:dyDescent="0.35">
      <c r="A28" s="29"/>
      <c r="B28" s="29"/>
      <c r="C28" s="15" t="s">
        <v>391</v>
      </c>
      <c r="D28" s="15" t="s">
        <v>862</v>
      </c>
      <c r="E28" s="15" t="s">
        <v>161</v>
      </c>
      <c r="F28" s="29"/>
      <c r="G28" s="29"/>
      <c r="H28" s="29"/>
    </row>
    <row r="29" spans="1:9" ht="46.5" x14ac:dyDescent="0.35">
      <c r="A29" s="17" t="s">
        <v>162</v>
      </c>
      <c r="B29" s="16" t="s">
        <v>863</v>
      </c>
      <c r="C29" s="13" t="s">
        <v>93</v>
      </c>
      <c r="D29" s="13" t="s">
        <v>864</v>
      </c>
      <c r="E29" s="13" t="s">
        <v>85</v>
      </c>
      <c r="F29" s="13" t="s">
        <v>865</v>
      </c>
      <c r="G29" s="13" t="s">
        <v>102</v>
      </c>
      <c r="H29" s="17" t="s">
        <v>5</v>
      </c>
    </row>
    <row r="30" spans="1:9" ht="46.5" x14ac:dyDescent="0.35">
      <c r="A30" s="17" t="s">
        <v>167</v>
      </c>
      <c r="B30" s="16" t="s">
        <v>866</v>
      </c>
      <c r="C30" s="13" t="s">
        <v>395</v>
      </c>
      <c r="D30" s="13" t="s">
        <v>93</v>
      </c>
      <c r="E30" s="13" t="s">
        <v>85</v>
      </c>
      <c r="F30" s="13" t="s">
        <v>867</v>
      </c>
      <c r="G30" s="13" t="s">
        <v>102</v>
      </c>
      <c r="H30" s="17" t="s">
        <v>5</v>
      </c>
    </row>
    <row r="31" spans="1:9" x14ac:dyDescent="0.35">
      <c r="A31" s="17" t="s">
        <v>171</v>
      </c>
      <c r="B31" s="16" t="s">
        <v>868</v>
      </c>
      <c r="C31" s="13" t="s">
        <v>104</v>
      </c>
      <c r="D31" s="13" t="s">
        <v>864</v>
      </c>
      <c r="E31" s="13" t="s">
        <v>869</v>
      </c>
      <c r="F31" s="13" t="s">
        <v>99</v>
      </c>
      <c r="G31" s="13" t="s">
        <v>1107</v>
      </c>
      <c r="H31" s="17" t="s">
        <v>5</v>
      </c>
    </row>
    <row r="32" spans="1:9" ht="69.75" x14ac:dyDescent="0.35">
      <c r="A32" s="17" t="s">
        <v>175</v>
      </c>
      <c r="B32" s="16" t="s">
        <v>870</v>
      </c>
      <c r="C32" s="13" t="s">
        <v>395</v>
      </c>
      <c r="D32" s="13" t="s">
        <v>871</v>
      </c>
      <c r="E32" s="13" t="s">
        <v>872</v>
      </c>
      <c r="F32" s="13" t="s">
        <v>873</v>
      </c>
      <c r="G32" s="13" t="s">
        <v>201</v>
      </c>
      <c r="H32" s="17" t="s">
        <v>5</v>
      </c>
    </row>
    <row r="33" spans="1:8" ht="46.5" x14ac:dyDescent="0.35">
      <c r="A33" s="17" t="s">
        <v>183</v>
      </c>
      <c r="B33" s="16" t="s">
        <v>874</v>
      </c>
      <c r="C33" s="13" t="s">
        <v>395</v>
      </c>
      <c r="D33" s="13" t="s">
        <v>864</v>
      </c>
      <c r="E33" s="13" t="s">
        <v>875</v>
      </c>
      <c r="F33" s="13" t="s">
        <v>876</v>
      </c>
      <c r="G33" s="13" t="s">
        <v>102</v>
      </c>
      <c r="H33" s="17" t="s">
        <v>5</v>
      </c>
    </row>
    <row r="34" spans="1:8" ht="69.75" x14ac:dyDescent="0.35">
      <c r="A34" s="17" t="s">
        <v>188</v>
      </c>
      <c r="B34" s="16" t="s">
        <v>877</v>
      </c>
      <c r="C34" s="13" t="s">
        <v>395</v>
      </c>
      <c r="D34" s="13" t="s">
        <v>878</v>
      </c>
      <c r="E34" s="13" t="s">
        <v>879</v>
      </c>
      <c r="F34" s="13" t="s">
        <v>880</v>
      </c>
      <c r="G34" s="13" t="s">
        <v>1108</v>
      </c>
      <c r="H34" s="17" t="s">
        <v>5</v>
      </c>
    </row>
    <row r="35" spans="1:8" ht="93" x14ac:dyDescent="0.35">
      <c r="A35" s="17" t="s">
        <v>193</v>
      </c>
      <c r="B35" s="16" t="s">
        <v>881</v>
      </c>
      <c r="C35" s="13" t="s">
        <v>395</v>
      </c>
      <c r="D35" s="13" t="s">
        <v>864</v>
      </c>
      <c r="E35" s="13" t="s">
        <v>882</v>
      </c>
      <c r="F35" s="13" t="s">
        <v>883</v>
      </c>
      <c r="G35" s="13" t="s">
        <v>1109</v>
      </c>
      <c r="H35" s="17" t="s">
        <v>5</v>
      </c>
    </row>
    <row r="36" spans="1:8" ht="69.75" x14ac:dyDescent="0.35">
      <c r="A36" s="17" t="s">
        <v>197</v>
      </c>
      <c r="B36" s="16" t="s">
        <v>884</v>
      </c>
      <c r="C36" s="13" t="s">
        <v>395</v>
      </c>
      <c r="D36" s="13" t="s">
        <v>864</v>
      </c>
      <c r="E36" s="13" t="s">
        <v>885</v>
      </c>
      <c r="F36" s="13" t="s">
        <v>886</v>
      </c>
      <c r="G36" s="13" t="s">
        <v>1110</v>
      </c>
      <c r="H36" s="17" t="s">
        <v>5</v>
      </c>
    </row>
  </sheetData>
  <mergeCells count="12">
    <mergeCell ref="A19:I19"/>
    <mergeCell ref="B21:F21"/>
    <mergeCell ref="B22:F22"/>
    <mergeCell ref="B23:F23"/>
    <mergeCell ref="B24:I24"/>
    <mergeCell ref="B25:I25"/>
    <mergeCell ref="A27:A28"/>
    <mergeCell ref="B27:B28"/>
    <mergeCell ref="C27:E27"/>
    <mergeCell ref="F27:F28"/>
    <mergeCell ref="G27:G28"/>
    <mergeCell ref="H27:H28"/>
  </mergeCells>
  <conditionalFormatting sqref="H29:H36">
    <cfRule type="cellIs" dxfId="71" priority="1" operator="equal">
      <formula>"Pass"</formula>
    </cfRule>
    <cfRule type="cellIs" dxfId="70" priority="2" operator="equal">
      <formula>"Fail"</formula>
    </cfRule>
    <cfRule type="cellIs" dxfId="69" priority="3" operator="equal">
      <formula>"Block"</formula>
    </cfRule>
  </conditionalFormatting>
  <dataValidations count="1">
    <dataValidation type="list" allowBlank="1" sqref="H29:H36" xr:uid="{E8770F24-8F49-45CA-8CCD-0DCD1AFC613E}">
      <formula1>"Pass,Fail,No run,Block"</formula1>
      <formula2>0</formula2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5C59-6B8A-4A1C-99D6-9CC814AF5B0F}">
  <dimension ref="A1:I32"/>
  <sheetViews>
    <sheetView topLeftCell="A6" workbookViewId="0">
      <selection activeCell="B17" sqref="B17:I17"/>
    </sheetView>
  </sheetViews>
  <sheetFormatPr defaultColWidth="7.625" defaultRowHeight="23.25" x14ac:dyDescent="0.35"/>
  <cols>
    <col min="1" max="1" width="19.25" style="8" customWidth="1"/>
    <col min="2" max="4" width="13.125" style="8" customWidth="1"/>
    <col min="5" max="5" width="43.75" style="8" customWidth="1"/>
    <col min="6" max="6" width="33.375" style="8" customWidth="1"/>
    <col min="7" max="7" width="14.875" style="8" customWidth="1"/>
    <col min="8" max="8" width="12.25" style="8" customWidth="1"/>
    <col min="9" max="9" width="15.7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887</v>
      </c>
      <c r="C4" s="31"/>
      <c r="E4" s="11" t="s">
        <v>21</v>
      </c>
      <c r="F4" s="31" t="s">
        <v>888</v>
      </c>
      <c r="G4" s="31"/>
      <c r="H4" s="31"/>
      <c r="I4" s="31"/>
    </row>
    <row r="5" spans="1:9" ht="24" thickBot="1" x14ac:dyDescent="0.4">
      <c r="A5" s="11" t="s">
        <v>23</v>
      </c>
      <c r="B5" s="31" t="s">
        <v>889</v>
      </c>
      <c r="C5" s="31"/>
      <c r="E5" s="11" t="s">
        <v>25</v>
      </c>
      <c r="F5" s="31" t="s">
        <v>890</v>
      </c>
      <c r="G5" s="31"/>
      <c r="H5" s="31"/>
      <c r="I5" s="31"/>
    </row>
    <row r="6" spans="1:9" ht="24" thickBot="1" x14ac:dyDescent="0.4">
      <c r="A6" s="11" t="s">
        <v>27</v>
      </c>
      <c r="B6" s="31" t="s">
        <v>891</v>
      </c>
      <c r="C6" s="31"/>
      <c r="E6" s="11" t="s">
        <v>29</v>
      </c>
      <c r="F6" s="31" t="s">
        <v>892</v>
      </c>
      <c r="G6" s="31"/>
      <c r="H6" s="31"/>
      <c r="I6" s="31"/>
    </row>
    <row r="7" spans="1:9" ht="24" thickBot="1" x14ac:dyDescent="0.4">
      <c r="A7" s="11" t="s">
        <v>31</v>
      </c>
      <c r="B7" s="31" t="s">
        <v>893</v>
      </c>
      <c r="C7" s="31"/>
      <c r="E7" s="11" t="s">
        <v>33</v>
      </c>
      <c r="F7" s="31" t="s">
        <v>894</v>
      </c>
      <c r="G7" s="31"/>
      <c r="H7" s="31"/>
      <c r="I7" s="31"/>
    </row>
    <row r="8" spans="1:9" ht="24" thickBot="1" x14ac:dyDescent="0.4">
      <c r="A8" s="11" t="s">
        <v>35</v>
      </c>
      <c r="B8" s="31" t="s">
        <v>895</v>
      </c>
      <c r="C8" s="31"/>
    </row>
    <row r="9" spans="1:9" ht="24" thickBot="1" x14ac:dyDescent="0.4">
      <c r="A9" s="11" t="s">
        <v>39</v>
      </c>
      <c r="B9" s="31" t="s">
        <v>896</v>
      </c>
      <c r="C9" s="31"/>
    </row>
    <row r="10" spans="1:9" ht="24" thickBot="1" x14ac:dyDescent="0.4">
      <c r="A10" s="11" t="s">
        <v>683</v>
      </c>
      <c r="B10" s="31" t="s">
        <v>897</v>
      </c>
      <c r="C10" s="31"/>
    </row>
    <row r="12" spans="1:9" x14ac:dyDescent="0.35">
      <c r="A12" s="30" t="s">
        <v>57</v>
      </c>
      <c r="B12" s="30"/>
      <c r="C12" s="30"/>
      <c r="D12" s="30"/>
      <c r="E12" s="30"/>
      <c r="F12" s="30"/>
      <c r="G12" s="30"/>
      <c r="H12" s="30"/>
      <c r="I12" s="30"/>
    </row>
    <row r="14" spans="1:9" ht="27.75" customHeight="1" x14ac:dyDescent="0.35">
      <c r="A14" s="12" t="s">
        <v>58</v>
      </c>
      <c r="B14" s="28" t="s">
        <v>898</v>
      </c>
      <c r="C14" s="28"/>
      <c r="D14" s="28"/>
      <c r="E14" s="28"/>
      <c r="F14" s="21"/>
      <c r="G14" s="21"/>
      <c r="H14" s="12" t="s">
        <v>60</v>
      </c>
      <c r="I14" s="14" t="s">
        <v>154</v>
      </c>
    </row>
    <row r="15" spans="1:9" ht="26.25" customHeight="1" x14ac:dyDescent="0.35">
      <c r="A15" s="12" t="s">
        <v>61</v>
      </c>
      <c r="B15" s="28" t="s">
        <v>62</v>
      </c>
      <c r="C15" s="28"/>
      <c r="D15" s="28"/>
      <c r="E15" s="28"/>
      <c r="F15" s="21"/>
      <c r="G15" s="21"/>
      <c r="H15" s="12" t="s">
        <v>63</v>
      </c>
      <c r="I15" s="14" t="s">
        <v>156</v>
      </c>
    </row>
    <row r="16" spans="1:9" ht="46.5" x14ac:dyDescent="0.35">
      <c r="A16" s="12" t="s">
        <v>64</v>
      </c>
      <c r="B16" s="28" t="s">
        <v>65</v>
      </c>
      <c r="C16" s="28"/>
      <c r="D16" s="28"/>
      <c r="E16" s="28"/>
      <c r="F16" s="21"/>
      <c r="G16" s="21"/>
      <c r="H16" s="12" t="s">
        <v>66</v>
      </c>
      <c r="I16" s="13" t="s">
        <v>67</v>
      </c>
    </row>
    <row r="17" spans="1:9" ht="46.5" x14ac:dyDescent="0.35">
      <c r="A17" s="12" t="s">
        <v>68</v>
      </c>
      <c r="B17" s="28" t="s">
        <v>899</v>
      </c>
      <c r="C17" s="28"/>
      <c r="D17" s="28"/>
      <c r="E17" s="28"/>
      <c r="F17" s="28"/>
      <c r="G17" s="28"/>
      <c r="H17" s="28"/>
      <c r="I17" s="28"/>
    </row>
    <row r="18" spans="1:9" ht="46.5" x14ac:dyDescent="0.35">
      <c r="A18" s="12" t="s">
        <v>70</v>
      </c>
      <c r="B18" s="28" t="s">
        <v>1076</v>
      </c>
      <c r="C18" s="28"/>
      <c r="D18" s="28"/>
      <c r="E18" s="28"/>
      <c r="F18" s="28"/>
      <c r="G18" s="28"/>
      <c r="H18" s="28"/>
      <c r="I18" s="28"/>
    </row>
    <row r="20" spans="1:9" x14ac:dyDescent="0.35">
      <c r="A20" s="29" t="s">
        <v>72</v>
      </c>
      <c r="B20" s="29" t="s">
        <v>73</v>
      </c>
      <c r="C20" s="29"/>
      <c r="D20" s="29"/>
      <c r="E20" s="29" t="s">
        <v>74</v>
      </c>
      <c r="F20" s="29" t="s">
        <v>75</v>
      </c>
      <c r="G20" s="29" t="s">
        <v>76</v>
      </c>
    </row>
    <row r="21" spans="1:9" ht="46.5" x14ac:dyDescent="0.35">
      <c r="A21" s="29"/>
      <c r="B21" s="15" t="s">
        <v>900</v>
      </c>
      <c r="C21" s="15" t="s">
        <v>901</v>
      </c>
      <c r="D21" s="15" t="s">
        <v>902</v>
      </c>
      <c r="E21" s="29"/>
      <c r="F21" s="29"/>
      <c r="G21" s="29"/>
    </row>
    <row r="22" spans="1:9" ht="52.5" customHeight="1" x14ac:dyDescent="0.35">
      <c r="A22" s="16" t="s">
        <v>903</v>
      </c>
      <c r="B22" s="13" t="s">
        <v>504</v>
      </c>
      <c r="C22" s="13" t="s">
        <v>904</v>
      </c>
      <c r="D22" s="13" t="s">
        <v>93</v>
      </c>
      <c r="E22" s="13" t="s">
        <v>905</v>
      </c>
      <c r="F22" s="13" t="s">
        <v>1077</v>
      </c>
      <c r="G22" s="17" t="s">
        <v>5</v>
      </c>
    </row>
    <row r="23" spans="1:9" x14ac:dyDescent="0.35">
      <c r="A23" s="16" t="s">
        <v>906</v>
      </c>
      <c r="B23" s="13" t="s">
        <v>504</v>
      </c>
      <c r="C23" s="13" t="s">
        <v>904</v>
      </c>
      <c r="D23" s="13" t="s">
        <v>907</v>
      </c>
      <c r="E23" s="13" t="s">
        <v>908</v>
      </c>
      <c r="F23" s="13" t="s">
        <v>1078</v>
      </c>
      <c r="G23" s="17" t="s">
        <v>5</v>
      </c>
    </row>
    <row r="24" spans="1:9" ht="46.5" x14ac:dyDescent="0.35">
      <c r="A24" s="16" t="s">
        <v>909</v>
      </c>
      <c r="B24" s="13" t="s">
        <v>504</v>
      </c>
      <c r="C24" s="13" t="s">
        <v>904</v>
      </c>
      <c r="D24" s="13" t="s">
        <v>910</v>
      </c>
      <c r="E24" s="13" t="s">
        <v>911</v>
      </c>
      <c r="F24" s="13" t="s">
        <v>1079</v>
      </c>
      <c r="G24" s="17" t="s">
        <v>5</v>
      </c>
    </row>
    <row r="25" spans="1:9" x14ac:dyDescent="0.35">
      <c r="A25" s="16" t="s">
        <v>912</v>
      </c>
      <c r="B25" s="13" t="s">
        <v>504</v>
      </c>
      <c r="C25" s="13" t="s">
        <v>904</v>
      </c>
      <c r="D25" s="13" t="s">
        <v>913</v>
      </c>
      <c r="E25" s="13" t="s">
        <v>914</v>
      </c>
      <c r="F25" s="13" t="s">
        <v>1080</v>
      </c>
      <c r="G25" s="17" t="s">
        <v>5</v>
      </c>
    </row>
    <row r="26" spans="1:9" x14ac:dyDescent="0.35">
      <c r="A26" s="16" t="s">
        <v>915</v>
      </c>
      <c r="B26" s="13" t="s">
        <v>504</v>
      </c>
      <c r="C26" s="13" t="s">
        <v>904</v>
      </c>
      <c r="D26" s="13" t="s">
        <v>916</v>
      </c>
      <c r="E26" s="13" t="s">
        <v>917</v>
      </c>
      <c r="F26" s="13" t="s">
        <v>1082</v>
      </c>
      <c r="G26" s="17" t="s">
        <v>5</v>
      </c>
    </row>
    <row r="27" spans="1:9" ht="46.5" x14ac:dyDescent="0.35">
      <c r="A27" s="16" t="s">
        <v>918</v>
      </c>
      <c r="B27" s="13" t="s">
        <v>504</v>
      </c>
      <c r="C27" s="13" t="s">
        <v>919</v>
      </c>
      <c r="D27" s="13" t="s">
        <v>910</v>
      </c>
      <c r="E27" s="13" t="s">
        <v>920</v>
      </c>
      <c r="F27" s="13" t="s">
        <v>1081</v>
      </c>
      <c r="G27" s="17" t="s">
        <v>5</v>
      </c>
    </row>
    <row r="28" spans="1:9" ht="52.5" customHeight="1" x14ac:dyDescent="0.35">
      <c r="A28" s="16" t="s">
        <v>921</v>
      </c>
      <c r="B28" s="13" t="s">
        <v>503</v>
      </c>
      <c r="C28" s="13" t="s">
        <v>904</v>
      </c>
      <c r="D28" s="13" t="s">
        <v>93</v>
      </c>
      <c r="E28" s="13" t="s">
        <v>1083</v>
      </c>
      <c r="F28" s="13" t="s">
        <v>1089</v>
      </c>
      <c r="G28" s="17" t="s">
        <v>5</v>
      </c>
    </row>
    <row r="29" spans="1:9" ht="46.5" x14ac:dyDescent="0.35">
      <c r="A29" s="16" t="s">
        <v>922</v>
      </c>
      <c r="B29" s="13" t="s">
        <v>506</v>
      </c>
      <c r="C29" s="13" t="s">
        <v>904</v>
      </c>
      <c r="D29" s="13" t="s">
        <v>93</v>
      </c>
      <c r="E29" s="13" t="s">
        <v>1084</v>
      </c>
      <c r="F29" s="13" t="s">
        <v>1088</v>
      </c>
      <c r="G29" s="17" t="s">
        <v>5</v>
      </c>
    </row>
    <row r="30" spans="1:9" x14ac:dyDescent="0.35">
      <c r="A30" s="16" t="s">
        <v>923</v>
      </c>
      <c r="B30" s="13" t="s">
        <v>505</v>
      </c>
      <c r="C30" s="13" t="s">
        <v>904</v>
      </c>
      <c r="D30" s="13" t="s">
        <v>93</v>
      </c>
      <c r="E30" s="13" t="s">
        <v>1085</v>
      </c>
      <c r="F30" s="13" t="s">
        <v>1090</v>
      </c>
      <c r="G30" s="17" t="s">
        <v>6</v>
      </c>
    </row>
    <row r="31" spans="1:9" x14ac:dyDescent="0.35">
      <c r="A31" s="16" t="s">
        <v>924</v>
      </c>
      <c r="B31" s="13" t="s">
        <v>410</v>
      </c>
      <c r="C31" s="13" t="s">
        <v>904</v>
      </c>
      <c r="D31" s="13" t="s">
        <v>93</v>
      </c>
      <c r="E31" s="13" t="s">
        <v>1086</v>
      </c>
      <c r="F31" s="13" t="s">
        <v>670</v>
      </c>
      <c r="G31" s="17" t="s">
        <v>6</v>
      </c>
    </row>
    <row r="32" spans="1:9" x14ac:dyDescent="0.35">
      <c r="A32" s="16" t="s">
        <v>925</v>
      </c>
      <c r="B32" s="13" t="s">
        <v>507</v>
      </c>
      <c r="C32" s="13" t="s">
        <v>904</v>
      </c>
      <c r="D32" s="13" t="s">
        <v>93</v>
      </c>
      <c r="E32" s="13" t="s">
        <v>1087</v>
      </c>
      <c r="F32" s="13" t="s">
        <v>670</v>
      </c>
      <c r="G32" s="17" t="s">
        <v>6</v>
      </c>
    </row>
  </sheetData>
  <mergeCells count="26">
    <mergeCell ref="A1:I1"/>
    <mergeCell ref="E2:F2"/>
    <mergeCell ref="B3:C3"/>
    <mergeCell ref="F3:I3"/>
    <mergeCell ref="B4:C4"/>
    <mergeCell ref="F4:I4"/>
    <mergeCell ref="B15:E15"/>
    <mergeCell ref="B5:C5"/>
    <mergeCell ref="F5:I5"/>
    <mergeCell ref="B6:C6"/>
    <mergeCell ref="F6:I6"/>
    <mergeCell ref="B7:C7"/>
    <mergeCell ref="F7:I7"/>
    <mergeCell ref="B8:C8"/>
    <mergeCell ref="B9:C9"/>
    <mergeCell ref="B10:C10"/>
    <mergeCell ref="A12:I12"/>
    <mergeCell ref="B14:E14"/>
    <mergeCell ref="B16:E16"/>
    <mergeCell ref="B17:I17"/>
    <mergeCell ref="B18:I18"/>
    <mergeCell ref="A20:A21"/>
    <mergeCell ref="B20:D20"/>
    <mergeCell ref="E20:E21"/>
    <mergeCell ref="F20:F21"/>
    <mergeCell ref="G20:G21"/>
  </mergeCells>
  <conditionalFormatting sqref="G22:G32">
    <cfRule type="cellIs" dxfId="68" priority="1" operator="equal">
      <formula>"Pass"</formula>
    </cfRule>
    <cfRule type="cellIs" dxfId="67" priority="2" operator="equal">
      <formula>"Fail"</formula>
    </cfRule>
    <cfRule type="cellIs" dxfId="66" priority="3" operator="equal">
      <formula>"Block"</formula>
    </cfRule>
  </conditionalFormatting>
  <dataValidations count="1">
    <dataValidation type="list" allowBlank="1" sqref="G22:G32" xr:uid="{50EBABC1-B6AF-459A-8195-6F7F860C031B}">
      <formula1>"Pass,Fail,No run,Block"</formula1>
      <formula2>0</formula2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CD8F-5782-4BE4-A113-2658FB6EB43E}">
  <dimension ref="A1:K24"/>
  <sheetViews>
    <sheetView topLeftCell="A6" workbookViewId="0">
      <selection activeCell="I15" sqref="I15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31.5" style="8" customWidth="1"/>
    <col min="5" max="5" width="15.75" style="8" customWidth="1"/>
    <col min="6" max="6" width="14.875" style="8" customWidth="1"/>
    <col min="7" max="8" width="7.625" style="8"/>
    <col min="9" max="9" width="8.75" style="8" customWidth="1"/>
    <col min="10" max="11" width="17.5" style="8" customWidth="1"/>
    <col min="12" max="16384" width="7.625" style="8"/>
  </cols>
  <sheetData>
    <row r="1" spans="1:11" ht="69.75" x14ac:dyDescent="0.35">
      <c r="A1" s="30" t="s">
        <v>57</v>
      </c>
      <c r="B1" s="30"/>
      <c r="C1" s="30"/>
      <c r="D1" s="30"/>
      <c r="E1" s="30"/>
      <c r="F1" s="30"/>
      <c r="I1" s="13"/>
      <c r="J1" s="15" t="s">
        <v>926</v>
      </c>
      <c r="K1" s="15" t="s">
        <v>927</v>
      </c>
    </row>
    <row r="2" spans="1:11" x14ac:dyDescent="0.35">
      <c r="I2" s="17" t="s">
        <v>223</v>
      </c>
      <c r="J2" s="17" t="s">
        <v>928</v>
      </c>
      <c r="K2" s="17" t="s">
        <v>929</v>
      </c>
    </row>
    <row r="3" spans="1:11" x14ac:dyDescent="0.35">
      <c r="A3" s="12" t="s">
        <v>58</v>
      </c>
      <c r="B3" s="28" t="s">
        <v>930</v>
      </c>
      <c r="C3" s="28"/>
      <c r="D3" s="28"/>
      <c r="E3" s="12" t="s">
        <v>60</v>
      </c>
      <c r="F3" s="14" t="s">
        <v>154</v>
      </c>
      <c r="I3" s="17" t="s">
        <v>227</v>
      </c>
      <c r="J3" s="17" t="s">
        <v>931</v>
      </c>
      <c r="K3" s="17" t="s">
        <v>932</v>
      </c>
    </row>
    <row r="4" spans="1:11" x14ac:dyDescent="0.35">
      <c r="A4" s="12" t="s">
        <v>61</v>
      </c>
      <c r="B4" s="28" t="s">
        <v>230</v>
      </c>
      <c r="C4" s="28"/>
      <c r="D4" s="28"/>
      <c r="E4" s="12" t="s">
        <v>63</v>
      </c>
      <c r="F4" s="14" t="s">
        <v>156</v>
      </c>
      <c r="I4" s="17" t="s">
        <v>231</v>
      </c>
      <c r="J4" s="17" t="s">
        <v>933</v>
      </c>
      <c r="K4" s="17" t="s">
        <v>934</v>
      </c>
    </row>
    <row r="5" spans="1:11" ht="46.5" x14ac:dyDescent="0.35">
      <c r="A5" s="12" t="s">
        <v>64</v>
      </c>
      <c r="B5" s="28" t="s">
        <v>65</v>
      </c>
      <c r="C5" s="28"/>
      <c r="D5" s="28"/>
      <c r="E5" s="12" t="s">
        <v>66</v>
      </c>
      <c r="F5" s="13" t="s">
        <v>67</v>
      </c>
      <c r="I5" s="17" t="s">
        <v>233</v>
      </c>
      <c r="J5" s="17" t="s">
        <v>904</v>
      </c>
      <c r="K5" s="17" t="s">
        <v>935</v>
      </c>
    </row>
    <row r="6" spans="1:11" ht="46.5" x14ac:dyDescent="0.35">
      <c r="A6" s="12" t="s">
        <v>68</v>
      </c>
      <c r="B6" s="28" t="s">
        <v>936</v>
      </c>
      <c r="C6" s="28"/>
      <c r="D6" s="28"/>
      <c r="E6" s="28"/>
      <c r="F6" s="28"/>
      <c r="I6" s="17" t="s">
        <v>237</v>
      </c>
      <c r="J6" s="17" t="s">
        <v>85</v>
      </c>
      <c r="K6" s="17" t="s">
        <v>937</v>
      </c>
    </row>
    <row r="7" spans="1:11" ht="46.5" x14ac:dyDescent="0.35">
      <c r="A7" s="12" t="s">
        <v>70</v>
      </c>
      <c r="B7" s="28" t="s">
        <v>939</v>
      </c>
      <c r="C7" s="28"/>
      <c r="D7" s="28"/>
      <c r="E7" s="28"/>
      <c r="F7" s="28"/>
      <c r="I7" s="17" t="s">
        <v>243</v>
      </c>
      <c r="J7" s="17" t="s">
        <v>85</v>
      </c>
      <c r="K7" s="17" t="s">
        <v>940</v>
      </c>
    </row>
    <row r="9" spans="1:11" x14ac:dyDescent="0.35">
      <c r="A9" s="29" t="s">
        <v>72</v>
      </c>
      <c r="B9" s="29" t="s">
        <v>73</v>
      </c>
      <c r="C9" s="29"/>
      <c r="D9" s="29" t="s">
        <v>74</v>
      </c>
      <c r="E9" s="29" t="s">
        <v>75</v>
      </c>
      <c r="F9" s="29" t="s">
        <v>76</v>
      </c>
    </row>
    <row r="10" spans="1:11" x14ac:dyDescent="0.35">
      <c r="A10" s="29"/>
      <c r="B10" s="15" t="s">
        <v>803</v>
      </c>
      <c r="C10" s="15" t="s">
        <v>941</v>
      </c>
      <c r="D10" s="29"/>
      <c r="E10" s="29"/>
      <c r="F10" s="29"/>
    </row>
    <row r="11" spans="1:11" x14ac:dyDescent="0.35">
      <c r="A11" s="16" t="s">
        <v>942</v>
      </c>
      <c r="B11" s="13" t="s">
        <v>943</v>
      </c>
      <c r="C11" s="13" t="s">
        <v>944</v>
      </c>
      <c r="D11" s="13" t="s">
        <v>945</v>
      </c>
      <c r="E11" s="13" t="s">
        <v>945</v>
      </c>
      <c r="F11" s="17" t="s">
        <v>5</v>
      </c>
    </row>
    <row r="12" spans="1:11" x14ac:dyDescent="0.35">
      <c r="A12" s="16" t="s">
        <v>946</v>
      </c>
      <c r="B12" s="13" t="s">
        <v>943</v>
      </c>
      <c r="C12" s="13" t="s">
        <v>947</v>
      </c>
      <c r="D12" s="13" t="s">
        <v>948</v>
      </c>
      <c r="E12" s="13" t="s">
        <v>948</v>
      </c>
      <c r="F12" s="17" t="s">
        <v>5</v>
      </c>
    </row>
    <row r="13" spans="1:11" x14ac:dyDescent="0.35">
      <c r="A13" s="16" t="s">
        <v>949</v>
      </c>
      <c r="B13" s="13" t="s">
        <v>943</v>
      </c>
      <c r="C13" s="13" t="s">
        <v>950</v>
      </c>
      <c r="D13" s="13" t="s">
        <v>948</v>
      </c>
      <c r="E13" s="13" t="s">
        <v>948</v>
      </c>
      <c r="F13" s="17" t="s">
        <v>5</v>
      </c>
    </row>
    <row r="14" spans="1:11" x14ac:dyDescent="0.35">
      <c r="A14" s="16" t="s">
        <v>951</v>
      </c>
      <c r="B14" s="13" t="s">
        <v>943</v>
      </c>
      <c r="C14" s="13" t="s">
        <v>952</v>
      </c>
      <c r="D14" s="13" t="s">
        <v>948</v>
      </c>
      <c r="E14" s="13" t="s">
        <v>948</v>
      </c>
      <c r="F14" s="17" t="s">
        <v>5</v>
      </c>
    </row>
    <row r="15" spans="1:11" ht="46.5" x14ac:dyDescent="0.35">
      <c r="A15" s="16" t="s">
        <v>953</v>
      </c>
      <c r="B15" s="13" t="s">
        <v>943</v>
      </c>
      <c r="C15" s="13" t="s">
        <v>954</v>
      </c>
      <c r="D15" s="13" t="s">
        <v>945</v>
      </c>
      <c r="E15" s="13" t="s">
        <v>945</v>
      </c>
      <c r="F15" s="17" t="s">
        <v>5</v>
      </c>
    </row>
    <row r="16" spans="1:11" x14ac:dyDescent="0.35">
      <c r="A16" s="16" t="s">
        <v>955</v>
      </c>
      <c r="B16" s="13" t="s">
        <v>956</v>
      </c>
      <c r="C16" s="13" t="s">
        <v>929</v>
      </c>
      <c r="D16" s="13" t="s">
        <v>307</v>
      </c>
      <c r="E16" s="13" t="s">
        <v>307</v>
      </c>
      <c r="F16" s="17" t="s">
        <v>5</v>
      </c>
    </row>
    <row r="17" spans="1:6" x14ac:dyDescent="0.35">
      <c r="A17" s="16" t="s">
        <v>957</v>
      </c>
      <c r="B17" s="13" t="s">
        <v>956</v>
      </c>
      <c r="C17" s="13" t="s">
        <v>932</v>
      </c>
      <c r="D17" s="13" t="s">
        <v>932</v>
      </c>
      <c r="E17" s="13" t="s">
        <v>932</v>
      </c>
      <c r="F17" s="17" t="s">
        <v>5</v>
      </c>
    </row>
    <row r="18" spans="1:6" x14ac:dyDescent="0.35">
      <c r="A18" s="16" t="s">
        <v>958</v>
      </c>
      <c r="B18" s="13" t="s">
        <v>956</v>
      </c>
      <c r="C18" s="13" t="s">
        <v>934</v>
      </c>
      <c r="D18" s="13" t="s">
        <v>934</v>
      </c>
      <c r="E18" s="13" t="s">
        <v>934</v>
      </c>
      <c r="F18" s="17" t="s">
        <v>5</v>
      </c>
    </row>
    <row r="19" spans="1:6" x14ac:dyDescent="0.35">
      <c r="A19" s="16" t="s">
        <v>959</v>
      </c>
      <c r="B19" s="13" t="s">
        <v>956</v>
      </c>
      <c r="C19" s="13" t="s">
        <v>935</v>
      </c>
      <c r="D19" s="13" t="s">
        <v>935</v>
      </c>
      <c r="E19" s="13" t="s">
        <v>935</v>
      </c>
      <c r="F19" s="17" t="s">
        <v>5</v>
      </c>
    </row>
    <row r="20" spans="1:6" x14ac:dyDescent="0.35">
      <c r="A20" s="16" t="s">
        <v>960</v>
      </c>
      <c r="B20" s="13" t="s">
        <v>956</v>
      </c>
      <c r="C20" s="13" t="s">
        <v>937</v>
      </c>
      <c r="D20" s="13" t="s">
        <v>937</v>
      </c>
      <c r="E20" s="13" t="s">
        <v>937</v>
      </c>
      <c r="F20" s="17" t="s">
        <v>5</v>
      </c>
    </row>
    <row r="21" spans="1:6" x14ac:dyDescent="0.35">
      <c r="A21" s="16" t="s">
        <v>961</v>
      </c>
      <c r="B21" s="13" t="s">
        <v>956</v>
      </c>
      <c r="C21" s="13" t="s">
        <v>938</v>
      </c>
      <c r="D21" s="13" t="s">
        <v>938</v>
      </c>
      <c r="E21" s="13" t="s">
        <v>938</v>
      </c>
      <c r="F21" s="17" t="s">
        <v>5</v>
      </c>
    </row>
    <row r="22" spans="1:6" x14ac:dyDescent="0.35">
      <c r="A22" s="16" t="s">
        <v>962</v>
      </c>
      <c r="B22" s="13" t="s">
        <v>956</v>
      </c>
      <c r="C22" s="13" t="s">
        <v>940</v>
      </c>
      <c r="D22" s="13" t="s">
        <v>938</v>
      </c>
      <c r="E22" s="13" t="s">
        <v>938</v>
      </c>
      <c r="F22" s="17" t="s">
        <v>5</v>
      </c>
    </row>
    <row r="23" spans="1:6" x14ac:dyDescent="0.35">
      <c r="A23" s="16" t="s">
        <v>963</v>
      </c>
      <c r="B23" s="13" t="s">
        <v>956</v>
      </c>
      <c r="C23" s="13" t="s">
        <v>964</v>
      </c>
      <c r="D23" s="13" t="s">
        <v>307</v>
      </c>
      <c r="E23" s="13" t="s">
        <v>307</v>
      </c>
      <c r="F23" s="17" t="s">
        <v>5</v>
      </c>
    </row>
    <row r="24" spans="1:6" x14ac:dyDescent="0.35">
      <c r="A24" s="16" t="s">
        <v>965</v>
      </c>
      <c r="B24" s="13" t="s">
        <v>966</v>
      </c>
      <c r="C24" s="13" t="s">
        <v>85</v>
      </c>
      <c r="D24" s="13" t="s">
        <v>967</v>
      </c>
      <c r="E24" s="13" t="s">
        <v>967</v>
      </c>
      <c r="F24" s="17" t="s">
        <v>5</v>
      </c>
    </row>
  </sheetData>
  <mergeCells count="11">
    <mergeCell ref="A1:F1"/>
    <mergeCell ref="B3:D3"/>
    <mergeCell ref="B4:D4"/>
    <mergeCell ref="B5:D5"/>
    <mergeCell ref="B6:F6"/>
    <mergeCell ref="B7:F7"/>
    <mergeCell ref="A9:A10"/>
    <mergeCell ref="B9:C9"/>
    <mergeCell ref="D9:D10"/>
    <mergeCell ref="E9:E10"/>
    <mergeCell ref="F9:F10"/>
  </mergeCells>
  <conditionalFormatting sqref="F11:F24">
    <cfRule type="cellIs" dxfId="65" priority="1" operator="equal">
      <formula>"Pass"</formula>
    </cfRule>
    <cfRule type="cellIs" dxfId="64" priority="2" operator="equal">
      <formula>"Fail"</formula>
    </cfRule>
    <cfRule type="cellIs" dxfId="63" priority="3" operator="equal">
      <formula>"Block"</formula>
    </cfRule>
  </conditionalFormatting>
  <dataValidations count="1">
    <dataValidation type="list" allowBlank="1" sqref="F11:F24" xr:uid="{BDD83B81-9854-4C3F-B151-CC8DA868DB4C}">
      <formula1>"Pass,Fail,No run,Block"</formula1>
      <formula2>0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8929-C145-49B0-9A83-24E07B021F2A}">
  <dimension ref="A1:I27"/>
  <sheetViews>
    <sheetView topLeftCell="A12" workbookViewId="0">
      <selection activeCell="H21" sqref="H21"/>
    </sheetView>
  </sheetViews>
  <sheetFormatPr defaultColWidth="7.625" defaultRowHeight="23.25" x14ac:dyDescent="0.35"/>
  <cols>
    <col min="1" max="3" width="19.25" style="8" customWidth="1"/>
    <col min="4" max="4" width="31.5" style="8" customWidth="1"/>
    <col min="5" max="5" width="32.875" style="8" customWidth="1"/>
    <col min="6" max="6" width="14.875" style="8" customWidth="1"/>
    <col min="7" max="8" width="12.25" style="8" customWidth="1"/>
    <col min="9" max="9" width="15.12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968</v>
      </c>
      <c r="C4" s="31"/>
      <c r="E4" s="11" t="s">
        <v>21</v>
      </c>
      <c r="F4" s="31" t="s">
        <v>969</v>
      </c>
      <c r="G4" s="31"/>
      <c r="H4" s="31"/>
      <c r="I4" s="31"/>
    </row>
    <row r="5" spans="1:9" ht="24" thickBot="1" x14ac:dyDescent="0.4">
      <c r="A5" s="11" t="s">
        <v>23</v>
      </c>
      <c r="B5" s="31" t="s">
        <v>970</v>
      </c>
      <c r="C5" s="31"/>
      <c r="E5" s="11" t="s">
        <v>25</v>
      </c>
      <c r="F5" s="31" t="s">
        <v>971</v>
      </c>
      <c r="G5" s="31"/>
      <c r="H5" s="31"/>
      <c r="I5" s="31"/>
    </row>
    <row r="6" spans="1:9" ht="24" thickBot="1" x14ac:dyDescent="0.4">
      <c r="A6" s="11" t="s">
        <v>27</v>
      </c>
      <c r="B6" s="31" t="s">
        <v>972</v>
      </c>
      <c r="C6" s="31"/>
      <c r="E6" s="11" t="s">
        <v>29</v>
      </c>
      <c r="F6" s="31" t="s">
        <v>973</v>
      </c>
      <c r="G6" s="31"/>
      <c r="H6" s="31"/>
      <c r="I6" s="31"/>
    </row>
    <row r="7" spans="1:9" ht="24" thickBot="1" x14ac:dyDescent="0.4">
      <c r="A7" s="11" t="s">
        <v>31</v>
      </c>
      <c r="B7" s="31" t="s">
        <v>974</v>
      </c>
      <c r="C7" s="31"/>
      <c r="E7" s="11" t="s">
        <v>33</v>
      </c>
      <c r="F7" s="31" t="s">
        <v>975</v>
      </c>
      <c r="G7" s="31"/>
      <c r="H7" s="31"/>
      <c r="I7" s="31"/>
    </row>
    <row r="9" spans="1:9" x14ac:dyDescent="0.35">
      <c r="A9" s="30" t="s">
        <v>57</v>
      </c>
      <c r="B9" s="30"/>
      <c r="C9" s="30"/>
      <c r="D9" s="30"/>
      <c r="E9" s="30"/>
      <c r="F9" s="30"/>
      <c r="G9" s="30"/>
      <c r="H9" s="30"/>
      <c r="I9" s="30"/>
    </row>
    <row r="11" spans="1:9" x14ac:dyDescent="0.35">
      <c r="A11" s="12" t="s">
        <v>58</v>
      </c>
      <c r="B11" s="28" t="s">
        <v>976</v>
      </c>
      <c r="C11" s="28"/>
      <c r="D11" s="28"/>
      <c r="E11" s="21"/>
      <c r="F11" s="21"/>
      <c r="G11" s="21"/>
      <c r="H11" s="12" t="s">
        <v>60</v>
      </c>
      <c r="I11" s="14" t="s">
        <v>154</v>
      </c>
    </row>
    <row r="12" spans="1:9" x14ac:dyDescent="0.35">
      <c r="A12" s="12" t="s">
        <v>61</v>
      </c>
      <c r="B12" s="28" t="s">
        <v>62</v>
      </c>
      <c r="C12" s="28"/>
      <c r="D12" s="28"/>
      <c r="E12" s="21"/>
      <c r="F12" s="21"/>
      <c r="G12" s="21"/>
      <c r="H12" s="12" t="s">
        <v>63</v>
      </c>
      <c r="I12" s="14" t="s">
        <v>156</v>
      </c>
    </row>
    <row r="13" spans="1:9" ht="46.5" x14ac:dyDescent="0.35">
      <c r="A13" s="12" t="s">
        <v>64</v>
      </c>
      <c r="B13" s="28" t="s">
        <v>65</v>
      </c>
      <c r="C13" s="28"/>
      <c r="D13" s="28"/>
      <c r="E13" s="21"/>
      <c r="F13" s="21"/>
      <c r="G13" s="21"/>
      <c r="H13" s="12" t="s">
        <v>66</v>
      </c>
      <c r="I13" s="13" t="s">
        <v>67</v>
      </c>
    </row>
    <row r="14" spans="1:9" ht="46.5" x14ac:dyDescent="0.35">
      <c r="A14" s="12" t="s">
        <v>68</v>
      </c>
      <c r="B14" s="28" t="s">
        <v>977</v>
      </c>
      <c r="C14" s="28"/>
      <c r="D14" s="28"/>
      <c r="E14" s="28"/>
      <c r="F14" s="28"/>
      <c r="G14" s="28"/>
      <c r="H14" s="28"/>
      <c r="I14" s="28"/>
    </row>
    <row r="15" spans="1:9" ht="46.5" x14ac:dyDescent="0.35">
      <c r="A15" s="12" t="s">
        <v>70</v>
      </c>
      <c r="B15" s="28" t="s">
        <v>978</v>
      </c>
      <c r="C15" s="28"/>
      <c r="D15" s="28"/>
      <c r="E15" s="28"/>
      <c r="F15" s="28"/>
      <c r="G15" s="28"/>
      <c r="H15" s="28"/>
      <c r="I15" s="28"/>
    </row>
    <row r="17" spans="1:6" x14ac:dyDescent="0.35">
      <c r="A17" s="29" t="s">
        <v>72</v>
      </c>
      <c r="B17" s="29" t="s">
        <v>73</v>
      </c>
      <c r="C17" s="29"/>
      <c r="D17" s="29" t="s">
        <v>74</v>
      </c>
      <c r="E17" s="29" t="s">
        <v>75</v>
      </c>
      <c r="F17" s="29" t="s">
        <v>76</v>
      </c>
    </row>
    <row r="18" spans="1:6" x14ac:dyDescent="0.35">
      <c r="A18" s="29"/>
      <c r="B18" s="15" t="s">
        <v>803</v>
      </c>
      <c r="C18" s="15" t="s">
        <v>941</v>
      </c>
      <c r="D18" s="29"/>
      <c r="E18" s="29"/>
      <c r="F18" s="29"/>
    </row>
    <row r="19" spans="1:6" x14ac:dyDescent="0.35">
      <c r="A19" s="16" t="s">
        <v>979</v>
      </c>
      <c r="B19" s="13" t="s">
        <v>956</v>
      </c>
      <c r="C19" s="13" t="s">
        <v>904</v>
      </c>
      <c r="D19" s="13" t="s">
        <v>980</v>
      </c>
      <c r="E19" s="13">
        <v>120</v>
      </c>
      <c r="F19" s="17" t="s">
        <v>5</v>
      </c>
    </row>
    <row r="20" spans="1:6" x14ac:dyDescent="0.35">
      <c r="A20" s="16" t="s">
        <v>981</v>
      </c>
      <c r="B20" s="13" t="s">
        <v>956</v>
      </c>
      <c r="C20" s="13" t="s">
        <v>932</v>
      </c>
      <c r="D20" s="13" t="s">
        <v>982</v>
      </c>
      <c r="E20" s="13" t="s">
        <v>1091</v>
      </c>
      <c r="F20" s="17" t="s">
        <v>5</v>
      </c>
    </row>
    <row r="21" spans="1:6" x14ac:dyDescent="0.35">
      <c r="A21" s="16" t="s">
        <v>983</v>
      </c>
      <c r="B21" s="13" t="s">
        <v>956</v>
      </c>
      <c r="C21" s="13" t="s">
        <v>984</v>
      </c>
      <c r="D21" s="13" t="s">
        <v>985</v>
      </c>
      <c r="E21" s="13" t="s">
        <v>1092</v>
      </c>
      <c r="F21" s="17" t="s">
        <v>5</v>
      </c>
    </row>
    <row r="22" spans="1:6" x14ac:dyDescent="0.35">
      <c r="A22" s="16" t="s">
        <v>986</v>
      </c>
      <c r="B22" s="13" t="s">
        <v>956</v>
      </c>
      <c r="C22" s="13" t="s">
        <v>987</v>
      </c>
      <c r="D22" s="13" t="s">
        <v>988</v>
      </c>
      <c r="E22" s="13" t="s">
        <v>1093</v>
      </c>
      <c r="F22" s="17" t="s">
        <v>5</v>
      </c>
    </row>
    <row r="23" spans="1:6" x14ac:dyDescent="0.35">
      <c r="A23" s="16" t="s">
        <v>989</v>
      </c>
      <c r="B23" s="13" t="s">
        <v>943</v>
      </c>
      <c r="C23" s="13" t="s">
        <v>952</v>
      </c>
      <c r="D23" s="13" t="s">
        <v>990</v>
      </c>
      <c r="E23" s="13" t="b">
        <v>1</v>
      </c>
      <c r="F23" s="17" t="s">
        <v>5</v>
      </c>
    </row>
    <row r="24" spans="1:6" x14ac:dyDescent="0.35">
      <c r="A24" s="16" t="s">
        <v>991</v>
      </c>
      <c r="B24" s="13" t="s">
        <v>956</v>
      </c>
      <c r="C24" s="13" t="s">
        <v>929</v>
      </c>
      <c r="D24" s="13" t="s">
        <v>992</v>
      </c>
      <c r="E24" s="13">
        <v>0</v>
      </c>
      <c r="F24" s="17" t="s">
        <v>5</v>
      </c>
    </row>
    <row r="25" spans="1:6" x14ac:dyDescent="0.35">
      <c r="A25" s="16" t="s">
        <v>993</v>
      </c>
      <c r="B25" s="13" t="s">
        <v>956</v>
      </c>
      <c r="C25" s="13" t="s">
        <v>994</v>
      </c>
      <c r="D25" s="13" t="s">
        <v>995</v>
      </c>
      <c r="E25" s="13">
        <v>0</v>
      </c>
      <c r="F25" s="17" t="s">
        <v>5</v>
      </c>
    </row>
    <row r="26" spans="1:6" x14ac:dyDescent="0.35">
      <c r="A26" s="16" t="s">
        <v>996</v>
      </c>
      <c r="B26" s="13" t="s">
        <v>956</v>
      </c>
      <c r="C26" s="13" t="s">
        <v>93</v>
      </c>
      <c r="D26" s="13" t="s">
        <v>997</v>
      </c>
      <c r="E26" s="13">
        <v>0</v>
      </c>
      <c r="F26" s="17" t="s">
        <v>5</v>
      </c>
    </row>
    <row r="27" spans="1:6" ht="46.5" x14ac:dyDescent="0.35">
      <c r="A27" s="16" t="s">
        <v>998</v>
      </c>
      <c r="B27" s="13" t="s">
        <v>943</v>
      </c>
      <c r="C27" s="13" t="s">
        <v>999</v>
      </c>
      <c r="D27" s="13" t="s">
        <v>1000</v>
      </c>
      <c r="E27" s="13" t="b">
        <v>0</v>
      </c>
      <c r="F27" s="17" t="s">
        <v>5</v>
      </c>
    </row>
  </sheetData>
  <mergeCells count="23">
    <mergeCell ref="A1:I1"/>
    <mergeCell ref="E2:F2"/>
    <mergeCell ref="B3:C3"/>
    <mergeCell ref="F3:I3"/>
    <mergeCell ref="B4:C4"/>
    <mergeCell ref="F4:I4"/>
    <mergeCell ref="B5:C5"/>
    <mergeCell ref="F5:I5"/>
    <mergeCell ref="B6:C6"/>
    <mergeCell ref="F6:I6"/>
    <mergeCell ref="B7:C7"/>
    <mergeCell ref="F7:I7"/>
    <mergeCell ref="A9:I9"/>
    <mergeCell ref="B11:D11"/>
    <mergeCell ref="B12:D12"/>
    <mergeCell ref="B13:D13"/>
    <mergeCell ref="B14:I14"/>
    <mergeCell ref="B15:I15"/>
    <mergeCell ref="A17:A18"/>
    <mergeCell ref="B17:C17"/>
    <mergeCell ref="D17:D18"/>
    <mergeCell ref="E17:E18"/>
    <mergeCell ref="F17:F18"/>
  </mergeCells>
  <conditionalFormatting sqref="F19:F27">
    <cfRule type="cellIs" dxfId="62" priority="1" operator="equal">
      <formula>"Pass"</formula>
    </cfRule>
    <cfRule type="cellIs" dxfId="61" priority="2" operator="equal">
      <formula>"Fail"</formula>
    </cfRule>
    <cfRule type="cellIs" dxfId="60" priority="3" operator="equal">
      <formula>"Block"</formula>
    </cfRule>
  </conditionalFormatting>
  <dataValidations count="1">
    <dataValidation type="list" allowBlank="1" sqref="F19:F27" xr:uid="{4397D30D-2512-45E4-99F6-A11A8FCBFAC8}">
      <formula1>"Pass,Fail,No run,Block"</formula1>
      <formula2>0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0FAC-7177-441B-87E9-FA36FFC87C6E}">
  <dimension ref="A1:I26"/>
  <sheetViews>
    <sheetView topLeftCell="A15" workbookViewId="0">
      <selection activeCell="G26" sqref="G26"/>
    </sheetView>
  </sheetViews>
  <sheetFormatPr defaultColWidth="14.375" defaultRowHeight="23.25" x14ac:dyDescent="0.35"/>
  <cols>
    <col min="1" max="3" width="14.375" style="8"/>
    <col min="4" max="4" width="29.125" style="8" customWidth="1"/>
    <col min="5" max="5" width="28.75" style="8" customWidth="1"/>
    <col min="6" max="16384" width="14.37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1001</v>
      </c>
      <c r="C4" s="31"/>
      <c r="E4" s="11" t="s">
        <v>21</v>
      </c>
      <c r="F4" s="31" t="s">
        <v>1002</v>
      </c>
      <c r="G4" s="31"/>
      <c r="H4" s="31"/>
      <c r="I4" s="31"/>
    </row>
    <row r="5" spans="1:9" ht="24" thickBot="1" x14ac:dyDescent="0.4">
      <c r="A5" s="11" t="s">
        <v>23</v>
      </c>
      <c r="B5" s="31" t="s">
        <v>1003</v>
      </c>
      <c r="C5" s="31"/>
      <c r="E5" s="11" t="s">
        <v>25</v>
      </c>
      <c r="F5" s="31" t="s">
        <v>93</v>
      </c>
      <c r="G5" s="31"/>
      <c r="H5" s="31"/>
      <c r="I5" s="31"/>
    </row>
    <row r="6" spans="1:9" ht="24" thickBot="1" x14ac:dyDescent="0.4">
      <c r="A6" s="11" t="s">
        <v>27</v>
      </c>
      <c r="B6" s="31" t="s">
        <v>1004</v>
      </c>
      <c r="C6" s="31"/>
      <c r="E6" s="11" t="s">
        <v>29</v>
      </c>
      <c r="F6" s="31" t="s">
        <v>1005</v>
      </c>
      <c r="G6" s="31"/>
      <c r="H6" s="31"/>
      <c r="I6" s="31"/>
    </row>
    <row r="7" spans="1:9" ht="24" thickBot="1" x14ac:dyDescent="0.4">
      <c r="A7" s="11" t="s">
        <v>31</v>
      </c>
      <c r="B7" s="31" t="s">
        <v>1006</v>
      </c>
      <c r="C7" s="31"/>
      <c r="E7" s="11" t="s">
        <v>33</v>
      </c>
      <c r="F7" s="31" t="s">
        <v>1007</v>
      </c>
      <c r="G7" s="31"/>
      <c r="H7" s="31"/>
      <c r="I7" s="31"/>
    </row>
    <row r="9" spans="1:9" x14ac:dyDescent="0.35">
      <c r="A9" s="30" t="s">
        <v>57</v>
      </c>
      <c r="B9" s="30"/>
      <c r="C9" s="30"/>
      <c r="D9" s="30"/>
      <c r="E9" s="30"/>
      <c r="F9" s="30"/>
      <c r="G9" s="30"/>
      <c r="H9" s="30"/>
      <c r="I9" s="30"/>
    </row>
    <row r="11" spans="1:9" ht="23.25" customHeight="1" x14ac:dyDescent="0.35">
      <c r="A11" s="12" t="s">
        <v>58</v>
      </c>
      <c r="B11" s="36" t="s">
        <v>1008</v>
      </c>
      <c r="C11" s="37"/>
      <c r="D11" s="37"/>
      <c r="E11" s="37"/>
      <c r="F11" s="37"/>
      <c r="G11" s="38"/>
      <c r="H11" s="12" t="s">
        <v>60</v>
      </c>
      <c r="I11" s="14" t="s">
        <v>154</v>
      </c>
    </row>
    <row r="12" spans="1:9" x14ac:dyDescent="0.35">
      <c r="A12" s="12" t="s">
        <v>61</v>
      </c>
      <c r="B12" s="36" t="s">
        <v>62</v>
      </c>
      <c r="C12" s="37"/>
      <c r="D12" s="37"/>
      <c r="E12" s="37"/>
      <c r="F12" s="37"/>
      <c r="G12" s="38"/>
      <c r="H12" s="12" t="s">
        <v>63</v>
      </c>
      <c r="I12" s="14" t="s">
        <v>156</v>
      </c>
    </row>
    <row r="13" spans="1:9" ht="46.5" customHeight="1" x14ac:dyDescent="0.35">
      <c r="A13" s="12" t="s">
        <v>64</v>
      </c>
      <c r="B13" s="36" t="s">
        <v>65</v>
      </c>
      <c r="C13" s="37"/>
      <c r="D13" s="37"/>
      <c r="E13" s="37"/>
      <c r="F13" s="37"/>
      <c r="G13" s="38"/>
      <c r="H13" s="12" t="s">
        <v>66</v>
      </c>
      <c r="I13" s="13" t="s">
        <v>67</v>
      </c>
    </row>
    <row r="14" spans="1:9" ht="46.5" x14ac:dyDescent="0.35">
      <c r="A14" s="12" t="s">
        <v>68</v>
      </c>
      <c r="B14" s="28" t="s">
        <v>1009</v>
      </c>
      <c r="C14" s="28"/>
      <c r="D14" s="28"/>
      <c r="E14" s="28"/>
      <c r="F14" s="28"/>
      <c r="G14" s="28"/>
      <c r="H14" s="28"/>
      <c r="I14" s="28"/>
    </row>
    <row r="15" spans="1:9" ht="46.5" x14ac:dyDescent="0.35">
      <c r="A15" s="12" t="s">
        <v>70</v>
      </c>
      <c r="B15" s="28" t="s">
        <v>1010</v>
      </c>
      <c r="C15" s="28"/>
      <c r="D15" s="28"/>
      <c r="E15" s="28"/>
      <c r="F15" s="28"/>
      <c r="G15" s="28"/>
      <c r="H15" s="28"/>
      <c r="I15" s="28"/>
    </row>
    <row r="17" spans="1:6" x14ac:dyDescent="0.35">
      <c r="A17" s="29" t="s">
        <v>72</v>
      </c>
      <c r="B17" s="29" t="s">
        <v>73</v>
      </c>
      <c r="C17" s="29"/>
      <c r="D17" s="29" t="s">
        <v>74</v>
      </c>
      <c r="E17" s="29" t="s">
        <v>75</v>
      </c>
      <c r="F17" s="29" t="s">
        <v>76</v>
      </c>
    </row>
    <row r="18" spans="1:6" x14ac:dyDescent="0.35">
      <c r="A18" s="29"/>
      <c r="B18" s="15" t="s">
        <v>902</v>
      </c>
      <c r="C18" s="15" t="s">
        <v>1011</v>
      </c>
      <c r="D18" s="29"/>
      <c r="E18" s="29"/>
      <c r="F18" s="29"/>
    </row>
    <row r="19" spans="1:6" ht="52.5" customHeight="1" x14ac:dyDescent="0.35">
      <c r="A19" s="16" t="s">
        <v>1012</v>
      </c>
      <c r="B19" s="13" t="s">
        <v>907</v>
      </c>
      <c r="C19" s="13" t="s">
        <v>1013</v>
      </c>
      <c r="D19" s="13" t="s">
        <v>1014</v>
      </c>
      <c r="E19" s="13" t="s">
        <v>1103</v>
      </c>
      <c r="F19" s="17" t="s">
        <v>5</v>
      </c>
    </row>
    <row r="20" spans="1:6" ht="54.75" customHeight="1" x14ac:dyDescent="0.35">
      <c r="A20" s="16" t="s">
        <v>1015</v>
      </c>
      <c r="B20" s="13" t="s">
        <v>1016</v>
      </c>
      <c r="C20" s="13" t="s">
        <v>1013</v>
      </c>
      <c r="D20" s="13" t="s">
        <v>1017</v>
      </c>
      <c r="E20" s="13" t="s">
        <v>1104</v>
      </c>
      <c r="F20" s="17" t="s">
        <v>5</v>
      </c>
    </row>
    <row r="21" spans="1:6" ht="54" customHeight="1" x14ac:dyDescent="0.35">
      <c r="A21" s="16" t="s">
        <v>1018</v>
      </c>
      <c r="B21" s="13" t="s">
        <v>1019</v>
      </c>
      <c r="C21" s="13" t="s">
        <v>1013</v>
      </c>
      <c r="D21" s="13" t="s">
        <v>1020</v>
      </c>
      <c r="E21" s="13" t="s">
        <v>1103</v>
      </c>
      <c r="F21" s="17" t="s">
        <v>5</v>
      </c>
    </row>
    <row r="22" spans="1:6" ht="49.5" customHeight="1" x14ac:dyDescent="0.35">
      <c r="A22" s="16" t="s">
        <v>1021</v>
      </c>
      <c r="B22" s="13" t="s">
        <v>1022</v>
      </c>
      <c r="C22" s="13" t="s">
        <v>1023</v>
      </c>
      <c r="D22" s="13" t="s">
        <v>1024</v>
      </c>
      <c r="E22" s="13" t="s">
        <v>1105</v>
      </c>
      <c r="F22" s="17" t="s">
        <v>5</v>
      </c>
    </row>
    <row r="23" spans="1:6" ht="33" customHeight="1" x14ac:dyDescent="0.35">
      <c r="A23" s="16" t="s">
        <v>1025</v>
      </c>
      <c r="B23" s="13" t="s">
        <v>916</v>
      </c>
      <c r="C23" s="13" t="s">
        <v>1013</v>
      </c>
      <c r="D23" s="13" t="s">
        <v>1026</v>
      </c>
      <c r="E23" s="13" t="s">
        <v>1106</v>
      </c>
      <c r="F23" s="17" t="s">
        <v>5</v>
      </c>
    </row>
    <row r="24" spans="1:6" ht="29.25" customHeight="1" x14ac:dyDescent="0.35">
      <c r="A24" s="16" t="s">
        <v>1027</v>
      </c>
      <c r="B24" s="13" t="s">
        <v>93</v>
      </c>
      <c r="C24" s="13" t="s">
        <v>1013</v>
      </c>
      <c r="D24" s="13" t="s">
        <v>1028</v>
      </c>
      <c r="E24" s="13" t="s">
        <v>1106</v>
      </c>
      <c r="F24" s="17" t="s">
        <v>5</v>
      </c>
    </row>
    <row r="25" spans="1:6" ht="30" customHeight="1" x14ac:dyDescent="0.35">
      <c r="A25" s="16" t="s">
        <v>1029</v>
      </c>
      <c r="B25" s="13" t="s">
        <v>1030</v>
      </c>
      <c r="C25" s="13" t="s">
        <v>1013</v>
      </c>
      <c r="D25" s="13" t="s">
        <v>1031</v>
      </c>
      <c r="E25" s="13" t="s">
        <v>1106</v>
      </c>
      <c r="F25" s="17" t="s">
        <v>5</v>
      </c>
    </row>
    <row r="26" spans="1:6" ht="77.25" customHeight="1" x14ac:dyDescent="0.35">
      <c r="A26" s="16" t="s">
        <v>1032</v>
      </c>
      <c r="B26" s="13" t="s">
        <v>907</v>
      </c>
      <c r="C26" s="13" t="s">
        <v>1033</v>
      </c>
      <c r="D26" s="13" t="s">
        <v>1034</v>
      </c>
      <c r="E26" s="13" t="s">
        <v>1106</v>
      </c>
      <c r="F26" s="17" t="s">
        <v>5</v>
      </c>
    </row>
  </sheetData>
  <mergeCells count="23">
    <mergeCell ref="A1:I1"/>
    <mergeCell ref="E2:F2"/>
    <mergeCell ref="B3:C3"/>
    <mergeCell ref="F3:I3"/>
    <mergeCell ref="B4:C4"/>
    <mergeCell ref="F4:I4"/>
    <mergeCell ref="B5:C5"/>
    <mergeCell ref="F5:I5"/>
    <mergeCell ref="B6:C6"/>
    <mergeCell ref="F6:I6"/>
    <mergeCell ref="B7:C7"/>
    <mergeCell ref="F7:I7"/>
    <mergeCell ref="A9:I9"/>
    <mergeCell ref="B14:I14"/>
    <mergeCell ref="B11:G11"/>
    <mergeCell ref="B12:G12"/>
    <mergeCell ref="B13:G13"/>
    <mergeCell ref="B15:I15"/>
    <mergeCell ref="A17:A18"/>
    <mergeCell ref="B17:C17"/>
    <mergeCell ref="D17:D18"/>
    <mergeCell ref="E17:E18"/>
    <mergeCell ref="F17:F18"/>
  </mergeCells>
  <conditionalFormatting sqref="F19:F26">
    <cfRule type="cellIs" dxfId="59" priority="1" operator="equal">
      <formula>"Pass"</formula>
    </cfRule>
    <cfRule type="cellIs" dxfId="58" priority="2" operator="equal">
      <formula>"Fail"</formula>
    </cfRule>
    <cfRule type="cellIs" dxfId="57" priority="3" operator="equal">
      <formula>"Block"</formula>
    </cfRule>
  </conditionalFormatting>
  <dataValidations count="1">
    <dataValidation type="list" allowBlank="1" sqref="F19:F26" xr:uid="{4E246A25-2BB3-4B2C-AE6C-44D47709DC3A}">
      <formula1>"Pass,Fail,No run,Block"</formula1>
      <formula2>0</formula2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DDCC7-7AA6-4354-AFC7-7F5A5E99E776}">
  <dimension ref="A1:I29"/>
  <sheetViews>
    <sheetView workbookViewId="0">
      <selection activeCell="B14" sqref="B14:G14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36.75" style="8" customWidth="1"/>
    <col min="5" max="5" width="30.875" style="8" customWidth="1"/>
    <col min="6" max="6" width="14.875" style="8" customWidth="1"/>
    <col min="7" max="8" width="12.25" style="8" customWidth="1"/>
    <col min="9" max="9" width="15.37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864</v>
      </c>
      <c r="C4" s="31"/>
      <c r="E4" s="11" t="s">
        <v>21</v>
      </c>
      <c r="F4" s="31" t="s">
        <v>1035</v>
      </c>
      <c r="G4" s="31"/>
      <c r="H4" s="31"/>
      <c r="I4" s="31"/>
    </row>
    <row r="5" spans="1:9" ht="24" thickBot="1" x14ac:dyDescent="0.4">
      <c r="A5" s="11" t="s">
        <v>23</v>
      </c>
      <c r="B5" s="31" t="s">
        <v>871</v>
      </c>
      <c r="C5" s="31"/>
      <c r="E5" s="11" t="s">
        <v>25</v>
      </c>
      <c r="F5" s="31" t="s">
        <v>1036</v>
      </c>
      <c r="G5" s="31"/>
      <c r="H5" s="31"/>
      <c r="I5" s="31"/>
    </row>
    <row r="6" spans="1:9" ht="24" thickBot="1" x14ac:dyDescent="0.4">
      <c r="A6" s="11" t="s">
        <v>27</v>
      </c>
      <c r="B6" s="31" t="s">
        <v>878</v>
      </c>
      <c r="C6" s="31"/>
      <c r="E6" s="11" t="s">
        <v>29</v>
      </c>
      <c r="F6" s="31" t="s">
        <v>1037</v>
      </c>
      <c r="G6" s="31"/>
      <c r="H6" s="31"/>
      <c r="I6" s="31"/>
    </row>
    <row r="7" spans="1:9" ht="24" thickBot="1" x14ac:dyDescent="0.4">
      <c r="A7" s="11" t="s">
        <v>31</v>
      </c>
      <c r="B7" s="31" t="s">
        <v>1038</v>
      </c>
      <c r="C7" s="31"/>
      <c r="E7" s="11" t="s">
        <v>33</v>
      </c>
      <c r="F7" s="31" t="s">
        <v>1039</v>
      </c>
      <c r="G7" s="31"/>
      <c r="H7" s="31"/>
      <c r="I7" s="31"/>
    </row>
    <row r="8" spans="1:9" ht="24" thickBot="1" x14ac:dyDescent="0.4">
      <c r="A8" s="11" t="s">
        <v>35</v>
      </c>
      <c r="B8" s="31" t="s">
        <v>1040</v>
      </c>
      <c r="C8" s="31"/>
    </row>
    <row r="10" spans="1:9" x14ac:dyDescent="0.35">
      <c r="A10" s="30" t="s">
        <v>57</v>
      </c>
      <c r="B10" s="30"/>
      <c r="C10" s="30"/>
      <c r="D10" s="30"/>
      <c r="E10" s="30"/>
      <c r="F10" s="30"/>
      <c r="G10" s="30"/>
      <c r="H10" s="30"/>
      <c r="I10" s="30"/>
    </row>
    <row r="12" spans="1:9" ht="23.25" customHeight="1" x14ac:dyDescent="0.35">
      <c r="A12" s="12" t="s">
        <v>58</v>
      </c>
      <c r="B12" s="36" t="s">
        <v>1041</v>
      </c>
      <c r="C12" s="37"/>
      <c r="D12" s="37"/>
      <c r="E12" s="37"/>
      <c r="F12" s="37"/>
      <c r="G12" s="38"/>
      <c r="H12" s="12" t="s">
        <v>60</v>
      </c>
      <c r="I12" s="14" t="s">
        <v>154</v>
      </c>
    </row>
    <row r="13" spans="1:9" ht="23.25" customHeight="1" x14ac:dyDescent="0.35">
      <c r="A13" s="12" t="s">
        <v>61</v>
      </c>
      <c r="B13" s="36" t="s">
        <v>1042</v>
      </c>
      <c r="C13" s="37"/>
      <c r="D13" s="37"/>
      <c r="E13" s="37"/>
      <c r="F13" s="37"/>
      <c r="G13" s="38"/>
      <c r="H13" s="12" t="s">
        <v>63</v>
      </c>
      <c r="I13" s="14" t="s">
        <v>156</v>
      </c>
    </row>
    <row r="14" spans="1:9" ht="46.5" x14ac:dyDescent="0.35">
      <c r="A14" s="12" t="s">
        <v>64</v>
      </c>
      <c r="B14" s="36" t="s">
        <v>65</v>
      </c>
      <c r="C14" s="37"/>
      <c r="D14" s="37"/>
      <c r="E14" s="37"/>
      <c r="F14" s="37"/>
      <c r="G14" s="38"/>
      <c r="H14" s="12" t="s">
        <v>66</v>
      </c>
      <c r="I14" s="13" t="s">
        <v>67</v>
      </c>
    </row>
    <row r="15" spans="1:9" ht="46.5" x14ac:dyDescent="0.35">
      <c r="A15" s="12" t="s">
        <v>68</v>
      </c>
      <c r="B15" s="28" t="s">
        <v>1043</v>
      </c>
      <c r="C15" s="28"/>
      <c r="D15" s="28"/>
      <c r="E15" s="28"/>
      <c r="F15" s="28"/>
      <c r="G15" s="28"/>
      <c r="H15" s="28"/>
      <c r="I15" s="28"/>
    </row>
    <row r="16" spans="1:9" ht="46.5" x14ac:dyDescent="0.35">
      <c r="A16" s="12" t="s">
        <v>70</v>
      </c>
      <c r="B16" s="28" t="s">
        <v>1044</v>
      </c>
      <c r="C16" s="28"/>
      <c r="D16" s="28"/>
      <c r="E16" s="28"/>
      <c r="F16" s="28"/>
      <c r="G16" s="28"/>
      <c r="H16" s="28"/>
      <c r="I16" s="28"/>
    </row>
    <row r="18" spans="1:6" x14ac:dyDescent="0.35">
      <c r="A18" s="29" t="s">
        <v>72</v>
      </c>
      <c r="B18" s="29" t="s">
        <v>73</v>
      </c>
      <c r="C18" s="29"/>
      <c r="D18" s="29" t="s">
        <v>74</v>
      </c>
      <c r="E18" s="29" t="s">
        <v>75</v>
      </c>
      <c r="F18" s="29" t="s">
        <v>76</v>
      </c>
    </row>
    <row r="19" spans="1:6" x14ac:dyDescent="0.35">
      <c r="A19" s="29"/>
      <c r="B19" s="15" t="s">
        <v>803</v>
      </c>
      <c r="C19" s="15" t="s">
        <v>1045</v>
      </c>
      <c r="D19" s="29"/>
      <c r="E19" s="29"/>
      <c r="F19" s="29"/>
    </row>
    <row r="20" spans="1:6" x14ac:dyDescent="0.35">
      <c r="A20" s="16" t="s">
        <v>1046</v>
      </c>
      <c r="B20" s="13" t="s">
        <v>1047</v>
      </c>
      <c r="C20" s="13" t="s">
        <v>864</v>
      </c>
      <c r="D20" s="13" t="s">
        <v>1048</v>
      </c>
      <c r="E20" s="13" t="s">
        <v>1094</v>
      </c>
      <c r="F20" s="17" t="s">
        <v>5</v>
      </c>
    </row>
    <row r="21" spans="1:6" x14ac:dyDescent="0.35">
      <c r="A21" s="16" t="s">
        <v>1049</v>
      </c>
      <c r="B21" s="13" t="s">
        <v>1047</v>
      </c>
      <c r="C21" s="13" t="s">
        <v>871</v>
      </c>
      <c r="D21" s="13" t="s">
        <v>1050</v>
      </c>
      <c r="E21" s="13" t="s">
        <v>1095</v>
      </c>
      <c r="F21" s="17" t="s">
        <v>5</v>
      </c>
    </row>
    <row r="22" spans="1:6" x14ac:dyDescent="0.35">
      <c r="A22" s="16" t="s">
        <v>1051</v>
      </c>
      <c r="B22" s="13" t="s">
        <v>1047</v>
      </c>
      <c r="C22" s="13" t="s">
        <v>878</v>
      </c>
      <c r="D22" s="13" t="s">
        <v>1052</v>
      </c>
      <c r="E22" s="13" t="s">
        <v>1096</v>
      </c>
      <c r="F22" s="17" t="s">
        <v>5</v>
      </c>
    </row>
    <row r="23" spans="1:6" ht="46.5" x14ac:dyDescent="0.35">
      <c r="A23" s="16" t="s">
        <v>1053</v>
      </c>
      <c r="B23" s="13" t="s">
        <v>1047</v>
      </c>
      <c r="C23" s="13" t="s">
        <v>93</v>
      </c>
      <c r="D23" s="13" t="s">
        <v>1054</v>
      </c>
      <c r="E23" s="13" t="s">
        <v>1097</v>
      </c>
      <c r="F23" s="17" t="s">
        <v>5</v>
      </c>
    </row>
    <row r="24" spans="1:6" ht="51.75" customHeight="1" x14ac:dyDescent="0.35">
      <c r="A24" s="16" t="s">
        <v>1055</v>
      </c>
      <c r="B24" s="13" t="s">
        <v>1056</v>
      </c>
      <c r="C24" s="13" t="s">
        <v>878</v>
      </c>
      <c r="D24" s="13" t="s">
        <v>1057</v>
      </c>
      <c r="E24" s="13" t="s">
        <v>1098</v>
      </c>
      <c r="F24" s="17" t="s">
        <v>5</v>
      </c>
    </row>
    <row r="25" spans="1:6" ht="46.5" x14ac:dyDescent="0.35">
      <c r="A25" s="16" t="s">
        <v>1058</v>
      </c>
      <c r="B25" s="13" t="s">
        <v>1059</v>
      </c>
      <c r="C25" s="13" t="s">
        <v>1060</v>
      </c>
      <c r="D25" s="13" t="s">
        <v>1061</v>
      </c>
      <c r="E25" s="13" t="s">
        <v>1099</v>
      </c>
      <c r="F25" s="17" t="s">
        <v>5</v>
      </c>
    </row>
    <row r="26" spans="1:6" ht="46.5" x14ac:dyDescent="0.35">
      <c r="A26" s="16" t="s">
        <v>1062</v>
      </c>
      <c r="B26" s="13" t="s">
        <v>1063</v>
      </c>
      <c r="C26" s="13" t="s">
        <v>1064</v>
      </c>
      <c r="D26" s="13" t="s">
        <v>1065</v>
      </c>
      <c r="E26" s="13" t="s">
        <v>1100</v>
      </c>
      <c r="F26" s="17" t="s">
        <v>5</v>
      </c>
    </row>
    <row r="27" spans="1:6" x14ac:dyDescent="0.35">
      <c r="A27" s="16" t="s">
        <v>1066</v>
      </c>
      <c r="B27" s="13" t="s">
        <v>1067</v>
      </c>
      <c r="C27" s="13" t="s">
        <v>93</v>
      </c>
      <c r="D27" s="13" t="s">
        <v>1068</v>
      </c>
      <c r="E27" s="13" t="b">
        <v>0</v>
      </c>
      <c r="F27" s="17" t="s">
        <v>5</v>
      </c>
    </row>
    <row r="28" spans="1:6" x14ac:dyDescent="0.35">
      <c r="A28" s="16" t="s">
        <v>1069</v>
      </c>
      <c r="B28" s="13" t="s">
        <v>1067</v>
      </c>
      <c r="C28" s="13" t="s">
        <v>1070</v>
      </c>
      <c r="D28" s="13" t="s">
        <v>1071</v>
      </c>
      <c r="E28" s="13" t="s">
        <v>1101</v>
      </c>
      <c r="F28" s="17" t="s">
        <v>5</v>
      </c>
    </row>
    <row r="29" spans="1:6" ht="69.75" x14ac:dyDescent="0.35">
      <c r="A29" s="16" t="s">
        <v>1072</v>
      </c>
      <c r="B29" s="13" t="s">
        <v>1073</v>
      </c>
      <c r="C29" s="13" t="s">
        <v>1074</v>
      </c>
      <c r="D29" s="13" t="s">
        <v>1075</v>
      </c>
      <c r="E29" s="24" t="s">
        <v>1102</v>
      </c>
      <c r="F29" s="17" t="s">
        <v>5</v>
      </c>
    </row>
  </sheetData>
  <mergeCells count="24">
    <mergeCell ref="A1:I1"/>
    <mergeCell ref="E2:F2"/>
    <mergeCell ref="B3:C3"/>
    <mergeCell ref="F3:I3"/>
    <mergeCell ref="B4:C4"/>
    <mergeCell ref="F4:I4"/>
    <mergeCell ref="B5:C5"/>
    <mergeCell ref="F5:I5"/>
    <mergeCell ref="B6:C6"/>
    <mergeCell ref="F6:I6"/>
    <mergeCell ref="B7:C7"/>
    <mergeCell ref="F7:I7"/>
    <mergeCell ref="B8:C8"/>
    <mergeCell ref="A10:I10"/>
    <mergeCell ref="B15:I15"/>
    <mergeCell ref="B12:G12"/>
    <mergeCell ref="B13:G13"/>
    <mergeCell ref="B14:G14"/>
    <mergeCell ref="B16:I16"/>
    <mergeCell ref="A18:A19"/>
    <mergeCell ref="B18:C18"/>
    <mergeCell ref="D18:D19"/>
    <mergeCell ref="E18:E19"/>
    <mergeCell ref="F18:F19"/>
  </mergeCells>
  <conditionalFormatting sqref="F20:F29">
    <cfRule type="cellIs" dxfId="56" priority="1" operator="equal">
      <formula>"Pass"</formula>
    </cfRule>
    <cfRule type="cellIs" dxfId="55" priority="2" operator="equal">
      <formula>"Fail"</formula>
    </cfRule>
    <cfRule type="cellIs" dxfId="54" priority="3" operator="equal">
      <formula>"Block"</formula>
    </cfRule>
  </conditionalFormatting>
  <dataValidations count="1">
    <dataValidation type="list" allowBlank="1" sqref="F20:F29" xr:uid="{B5E55CEF-3D99-4A0A-9025-0409E39DCABA}">
      <formula1>"Pass,Fail,No run,Block"</formula1>
      <formula2>0</formula2>
    </dataValidation>
  </dataValidations>
  <hyperlinks>
    <hyperlink ref="E29" r:id="rId1" xr:uid="{5EEFAEC4-2013-432B-8EEE-0A7BCB87DC7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148-76E2-4961-8D8E-DD3613A30109}">
  <dimension ref="A1:I17"/>
  <sheetViews>
    <sheetView topLeftCell="A4" workbookViewId="0">
      <selection activeCell="D17" sqref="D17"/>
    </sheetView>
  </sheetViews>
  <sheetFormatPr defaultColWidth="7.625" defaultRowHeight="23.25" x14ac:dyDescent="0.35"/>
  <cols>
    <col min="1" max="1" width="19.25" style="8" customWidth="1"/>
    <col min="2" max="2" width="15.75" style="8" customWidth="1"/>
    <col min="3" max="3" width="49" style="8" customWidth="1"/>
    <col min="4" max="4" width="37.25" style="8" customWidth="1"/>
    <col min="5" max="5" width="17.125" style="8" customWidth="1"/>
    <col min="6" max="7" width="7.625" style="8"/>
    <col min="8" max="8" width="8.75" style="8" customWidth="1"/>
    <col min="9" max="9" width="19.25" style="8" customWidth="1"/>
    <col min="10" max="16384" width="7.625" style="8"/>
  </cols>
  <sheetData>
    <row r="1" spans="1:9" x14ac:dyDescent="0.35">
      <c r="A1" s="30" t="s">
        <v>57</v>
      </c>
      <c r="B1" s="30"/>
      <c r="C1" s="30"/>
      <c r="D1" s="30"/>
      <c r="E1" s="30"/>
      <c r="H1" s="13"/>
      <c r="I1" s="15" t="s">
        <v>1122</v>
      </c>
    </row>
    <row r="2" spans="1:9" x14ac:dyDescent="0.35">
      <c r="H2" s="17" t="s">
        <v>223</v>
      </c>
      <c r="I2" s="17" t="s">
        <v>929</v>
      </c>
    </row>
    <row r="3" spans="1:9" x14ac:dyDescent="0.35">
      <c r="A3" s="12" t="s">
        <v>58</v>
      </c>
      <c r="B3" s="28" t="s">
        <v>1123</v>
      </c>
      <c r="C3" s="28"/>
      <c r="D3" s="12" t="s">
        <v>60</v>
      </c>
      <c r="E3" s="14" t="s">
        <v>154</v>
      </c>
      <c r="H3" s="17" t="s">
        <v>227</v>
      </c>
      <c r="I3" s="17" t="s">
        <v>932</v>
      </c>
    </row>
    <row r="4" spans="1:9" x14ac:dyDescent="0.35">
      <c r="A4" s="12" t="s">
        <v>61</v>
      </c>
      <c r="B4" s="28" t="s">
        <v>230</v>
      </c>
      <c r="C4" s="28"/>
      <c r="D4" s="12" t="s">
        <v>63</v>
      </c>
      <c r="E4" s="14" t="s">
        <v>156</v>
      </c>
      <c r="H4" s="17" t="s">
        <v>231</v>
      </c>
      <c r="I4" s="17" t="s">
        <v>934</v>
      </c>
    </row>
    <row r="5" spans="1:9" ht="46.5" x14ac:dyDescent="0.35">
      <c r="A5" s="12" t="s">
        <v>64</v>
      </c>
      <c r="B5" s="28" t="s">
        <v>65</v>
      </c>
      <c r="C5" s="28"/>
      <c r="D5" s="12" t="s">
        <v>66</v>
      </c>
      <c r="E5" s="13" t="s">
        <v>67</v>
      </c>
      <c r="H5" s="17" t="s">
        <v>233</v>
      </c>
      <c r="I5" s="17" t="s">
        <v>931</v>
      </c>
    </row>
    <row r="6" spans="1:9" ht="46.5" x14ac:dyDescent="0.35">
      <c r="A6" s="12" t="s">
        <v>68</v>
      </c>
      <c r="B6" s="28" t="s">
        <v>1124</v>
      </c>
      <c r="C6" s="28"/>
      <c r="D6" s="28"/>
      <c r="E6" s="28"/>
      <c r="H6" s="17" t="s">
        <v>237</v>
      </c>
      <c r="I6" s="17" t="s">
        <v>1125</v>
      </c>
    </row>
    <row r="7" spans="1:9" ht="46.5" x14ac:dyDescent="0.35">
      <c r="A7" s="12" t="s">
        <v>70</v>
      </c>
      <c r="B7" s="28" t="s">
        <v>1126</v>
      </c>
      <c r="C7" s="28"/>
      <c r="D7" s="28"/>
      <c r="E7" s="28"/>
      <c r="H7" s="17" t="s">
        <v>243</v>
      </c>
      <c r="I7" s="17" t="s">
        <v>1127</v>
      </c>
    </row>
    <row r="9" spans="1:9" x14ac:dyDescent="0.35">
      <c r="A9" s="29" t="s">
        <v>72</v>
      </c>
      <c r="B9" s="15" t="s">
        <v>73</v>
      </c>
      <c r="C9" s="29" t="s">
        <v>74</v>
      </c>
      <c r="D9" s="29" t="s">
        <v>75</v>
      </c>
      <c r="E9" s="29" t="s">
        <v>76</v>
      </c>
    </row>
    <row r="10" spans="1:9" x14ac:dyDescent="0.35">
      <c r="A10" s="29"/>
      <c r="B10" s="15" t="s">
        <v>1122</v>
      </c>
      <c r="C10" s="29"/>
      <c r="D10" s="29"/>
      <c r="E10" s="29"/>
    </row>
    <row r="11" spans="1:9" ht="46.5" x14ac:dyDescent="0.35">
      <c r="A11" s="16" t="s">
        <v>1128</v>
      </c>
      <c r="B11" s="13" t="s">
        <v>929</v>
      </c>
      <c r="C11" s="13" t="s">
        <v>1129</v>
      </c>
      <c r="D11" s="13" t="s">
        <v>102</v>
      </c>
      <c r="E11" s="17" t="s">
        <v>5</v>
      </c>
    </row>
    <row r="12" spans="1:9" ht="46.5" x14ac:dyDescent="0.35">
      <c r="A12" s="16" t="s">
        <v>1130</v>
      </c>
      <c r="B12" s="13" t="s">
        <v>932</v>
      </c>
      <c r="C12" s="13" t="s">
        <v>1131</v>
      </c>
      <c r="D12" s="13" t="s">
        <v>1190</v>
      </c>
      <c r="E12" s="17" t="s">
        <v>5</v>
      </c>
    </row>
    <row r="13" spans="1:9" ht="24.75" customHeight="1" x14ac:dyDescent="0.35">
      <c r="A13" s="16" t="s">
        <v>1132</v>
      </c>
      <c r="B13" s="13" t="s">
        <v>934</v>
      </c>
      <c r="C13" s="13" t="s">
        <v>1133</v>
      </c>
      <c r="D13" s="13" t="s">
        <v>1191</v>
      </c>
      <c r="E13" s="17" t="s">
        <v>5</v>
      </c>
    </row>
    <row r="14" spans="1:9" x14ac:dyDescent="0.35">
      <c r="A14" s="16" t="s">
        <v>1134</v>
      </c>
      <c r="B14" s="13" t="s">
        <v>931</v>
      </c>
      <c r="C14" s="13" t="s">
        <v>1133</v>
      </c>
      <c r="D14" s="13" t="s">
        <v>1191</v>
      </c>
      <c r="E14" s="17" t="s">
        <v>5</v>
      </c>
    </row>
    <row r="15" spans="1:9" x14ac:dyDescent="0.35">
      <c r="A15" s="16" t="s">
        <v>1135</v>
      </c>
      <c r="B15" s="13" t="s">
        <v>1125</v>
      </c>
      <c r="C15" s="13" t="s">
        <v>1133</v>
      </c>
      <c r="D15" s="13" t="s">
        <v>1191</v>
      </c>
      <c r="E15" s="17" t="s">
        <v>5</v>
      </c>
    </row>
    <row r="16" spans="1:9" ht="46.5" x14ac:dyDescent="0.35">
      <c r="A16" s="16" t="s">
        <v>1136</v>
      </c>
      <c r="B16" s="13" t="s">
        <v>904</v>
      </c>
      <c r="C16" s="13" t="s">
        <v>1137</v>
      </c>
      <c r="D16" s="13" t="s">
        <v>1192</v>
      </c>
      <c r="E16" s="17" t="s">
        <v>5</v>
      </c>
    </row>
    <row r="17" spans="1:5" ht="46.5" x14ac:dyDescent="0.35">
      <c r="A17" s="16" t="s">
        <v>1138</v>
      </c>
      <c r="B17" s="13" t="s">
        <v>1127</v>
      </c>
      <c r="C17" s="13" t="s">
        <v>1139</v>
      </c>
      <c r="D17" s="13" t="s">
        <v>102</v>
      </c>
      <c r="E17" s="17" t="s">
        <v>5</v>
      </c>
    </row>
  </sheetData>
  <mergeCells count="10">
    <mergeCell ref="A1:E1"/>
    <mergeCell ref="B3:C3"/>
    <mergeCell ref="B4:C4"/>
    <mergeCell ref="B5:C5"/>
    <mergeCell ref="B6:E6"/>
    <mergeCell ref="B7:E7"/>
    <mergeCell ref="A9:A10"/>
    <mergeCell ref="C9:C10"/>
    <mergeCell ref="D9:D10"/>
    <mergeCell ref="E9:E10"/>
  </mergeCells>
  <conditionalFormatting sqref="E11:E17">
    <cfRule type="cellIs" dxfId="53" priority="1" operator="equal">
      <formula>"Pass"</formula>
    </cfRule>
    <cfRule type="cellIs" dxfId="52" priority="2" operator="equal">
      <formula>"Fail"</formula>
    </cfRule>
    <cfRule type="cellIs" dxfId="51" priority="3" operator="equal">
      <formula>"Block"</formula>
    </cfRule>
  </conditionalFormatting>
  <dataValidations count="1">
    <dataValidation type="list" allowBlank="1" sqref="E11:E17" xr:uid="{832921AF-75EF-4347-9F7F-972662CC6DBE}">
      <formula1>"Pass,Fail,No run,Block"</formula1>
      <formula2>0</formula2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CF8C-F017-43DA-B70D-575F77D1CBC6}">
  <dimension ref="A1:I30"/>
  <sheetViews>
    <sheetView topLeftCell="A9" workbookViewId="0">
      <selection activeCell="I13" sqref="I13:I14"/>
    </sheetView>
  </sheetViews>
  <sheetFormatPr defaultColWidth="7.625" defaultRowHeight="23.25" x14ac:dyDescent="0.35"/>
  <cols>
    <col min="1" max="1" width="19.25" style="8" customWidth="1"/>
    <col min="2" max="3" width="22.75" style="8" customWidth="1"/>
    <col min="4" max="4" width="36.75" style="8" customWidth="1"/>
    <col min="5" max="5" width="34.625" style="8" customWidth="1"/>
    <col min="6" max="6" width="14.875" style="8" customWidth="1"/>
    <col min="7" max="8" width="12.25" style="8" customWidth="1"/>
    <col min="9" max="9" width="17.7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1140</v>
      </c>
      <c r="C4" s="31"/>
      <c r="E4" s="11" t="s">
        <v>21</v>
      </c>
      <c r="F4" s="31" t="s">
        <v>1141</v>
      </c>
      <c r="G4" s="31"/>
      <c r="H4" s="31"/>
      <c r="I4" s="31"/>
    </row>
    <row r="5" spans="1:9" ht="24" thickBot="1" x14ac:dyDescent="0.4">
      <c r="A5" s="11" t="s">
        <v>23</v>
      </c>
      <c r="B5" s="31" t="s">
        <v>1142</v>
      </c>
      <c r="C5" s="31"/>
      <c r="E5" s="11" t="s">
        <v>25</v>
      </c>
      <c r="F5" s="31" t="s">
        <v>1143</v>
      </c>
      <c r="G5" s="31"/>
      <c r="H5" s="31"/>
      <c r="I5" s="31"/>
    </row>
    <row r="6" spans="1:9" ht="24" thickBot="1" x14ac:dyDescent="0.4">
      <c r="A6" s="11" t="s">
        <v>27</v>
      </c>
      <c r="B6" s="31" t="s">
        <v>1144</v>
      </c>
      <c r="C6" s="31"/>
      <c r="E6" s="11" t="s">
        <v>29</v>
      </c>
      <c r="F6" s="31" t="s">
        <v>1145</v>
      </c>
      <c r="G6" s="31"/>
      <c r="H6" s="31"/>
      <c r="I6" s="31"/>
    </row>
    <row r="7" spans="1:9" ht="24" thickBot="1" x14ac:dyDescent="0.4">
      <c r="A7" s="11" t="s">
        <v>31</v>
      </c>
      <c r="B7" s="31" t="s">
        <v>1146</v>
      </c>
      <c r="C7" s="31"/>
      <c r="E7" s="11" t="s">
        <v>33</v>
      </c>
      <c r="F7" s="31" t="s">
        <v>1147</v>
      </c>
      <c r="G7" s="31"/>
      <c r="H7" s="31"/>
      <c r="I7" s="31"/>
    </row>
    <row r="8" spans="1:9" ht="24" thickBot="1" x14ac:dyDescent="0.4">
      <c r="E8" s="11" t="s">
        <v>37</v>
      </c>
      <c r="F8" s="31" t="s">
        <v>1148</v>
      </c>
      <c r="G8" s="31"/>
      <c r="H8" s="31"/>
      <c r="I8" s="31"/>
    </row>
    <row r="9" spans="1:9" ht="24" thickBot="1" x14ac:dyDescent="0.4">
      <c r="E9" s="11" t="s">
        <v>41</v>
      </c>
      <c r="F9" s="31" t="s">
        <v>1149</v>
      </c>
      <c r="G9" s="31"/>
      <c r="H9" s="31"/>
      <c r="I9" s="31"/>
    </row>
    <row r="11" spans="1:9" x14ac:dyDescent="0.35">
      <c r="A11" s="30" t="s">
        <v>57</v>
      </c>
      <c r="B11" s="30"/>
      <c r="C11" s="30"/>
      <c r="D11" s="30"/>
      <c r="E11" s="30"/>
      <c r="F11" s="30"/>
      <c r="G11" s="30"/>
      <c r="H11" s="30"/>
      <c r="I11" s="30"/>
    </row>
    <row r="13" spans="1:9" x14ac:dyDescent="0.35">
      <c r="A13" s="12" t="s">
        <v>58</v>
      </c>
      <c r="B13" s="28" t="s">
        <v>1150</v>
      </c>
      <c r="C13" s="28"/>
      <c r="D13" s="28"/>
      <c r="E13" s="21"/>
      <c r="F13" s="21"/>
      <c r="G13" s="21"/>
      <c r="H13" s="12" t="s">
        <v>60</v>
      </c>
      <c r="I13" s="14" t="s">
        <v>154</v>
      </c>
    </row>
    <row r="14" spans="1:9" x14ac:dyDescent="0.35">
      <c r="A14" s="12" t="s">
        <v>61</v>
      </c>
      <c r="B14" s="28" t="s">
        <v>62</v>
      </c>
      <c r="C14" s="28"/>
      <c r="D14" s="28"/>
      <c r="E14" s="21"/>
      <c r="F14" s="21"/>
      <c r="G14" s="21"/>
      <c r="H14" s="12" t="s">
        <v>63</v>
      </c>
      <c r="I14" s="14" t="s">
        <v>156</v>
      </c>
    </row>
    <row r="15" spans="1:9" ht="46.5" x14ac:dyDescent="0.35">
      <c r="A15" s="12" t="s">
        <v>64</v>
      </c>
      <c r="B15" s="28" t="s">
        <v>65</v>
      </c>
      <c r="C15" s="28"/>
      <c r="D15" s="28"/>
      <c r="E15" s="21"/>
      <c r="F15" s="21"/>
      <c r="G15" s="21"/>
      <c r="H15" s="12" t="s">
        <v>66</v>
      </c>
      <c r="I15" s="13" t="s">
        <v>67</v>
      </c>
    </row>
    <row r="16" spans="1:9" ht="46.5" x14ac:dyDescent="0.35">
      <c r="A16" s="12" t="s">
        <v>68</v>
      </c>
      <c r="B16" s="28" t="s">
        <v>1151</v>
      </c>
      <c r="C16" s="28"/>
      <c r="D16" s="28"/>
      <c r="E16" s="28"/>
      <c r="F16" s="28"/>
      <c r="G16" s="28"/>
      <c r="H16" s="28"/>
      <c r="I16" s="28"/>
    </row>
    <row r="17" spans="1:9" ht="46.5" x14ac:dyDescent="0.35">
      <c r="A17" s="12" t="s">
        <v>70</v>
      </c>
      <c r="B17" s="28" t="s">
        <v>1152</v>
      </c>
      <c r="C17" s="28"/>
      <c r="D17" s="28"/>
      <c r="E17" s="28"/>
      <c r="F17" s="28"/>
      <c r="G17" s="28"/>
      <c r="H17" s="28"/>
      <c r="I17" s="28"/>
    </row>
    <row r="19" spans="1:9" x14ac:dyDescent="0.35">
      <c r="A19" s="29" t="s">
        <v>72</v>
      </c>
      <c r="B19" s="29" t="s">
        <v>73</v>
      </c>
      <c r="C19" s="29"/>
      <c r="D19" s="29" t="s">
        <v>74</v>
      </c>
      <c r="E19" s="29" t="s">
        <v>75</v>
      </c>
      <c r="F19" s="29" t="s">
        <v>76</v>
      </c>
    </row>
    <row r="20" spans="1:9" ht="46.5" x14ac:dyDescent="0.35">
      <c r="A20" s="29"/>
      <c r="B20" s="15" t="s">
        <v>1153</v>
      </c>
      <c r="C20" s="15" t="s">
        <v>1154</v>
      </c>
      <c r="D20" s="29"/>
      <c r="E20" s="29"/>
      <c r="F20" s="29"/>
    </row>
    <row r="21" spans="1:9" ht="46.5" x14ac:dyDescent="0.35">
      <c r="A21" s="16" t="s">
        <v>1155</v>
      </c>
      <c r="B21" s="13" t="s">
        <v>1156</v>
      </c>
      <c r="C21" s="13" t="s">
        <v>1157</v>
      </c>
      <c r="D21" s="13" t="s">
        <v>1158</v>
      </c>
      <c r="E21" s="13" t="s">
        <v>1193</v>
      </c>
      <c r="F21" s="17" t="s">
        <v>5</v>
      </c>
    </row>
    <row r="22" spans="1:9" ht="46.5" x14ac:dyDescent="0.35">
      <c r="A22" s="16" t="s">
        <v>1159</v>
      </c>
      <c r="B22" s="13" t="s">
        <v>1160</v>
      </c>
      <c r="C22" s="13" t="s">
        <v>1161</v>
      </c>
      <c r="D22" s="13" t="s">
        <v>1162</v>
      </c>
      <c r="E22" s="13" t="s">
        <v>1196</v>
      </c>
      <c r="F22" s="17" t="s">
        <v>5</v>
      </c>
    </row>
    <row r="23" spans="1:9" ht="46.5" x14ac:dyDescent="0.35">
      <c r="A23" s="16" t="s">
        <v>1163</v>
      </c>
      <c r="B23" s="13" t="s">
        <v>419</v>
      </c>
      <c r="C23" s="13" t="s">
        <v>1164</v>
      </c>
      <c r="D23" s="13" t="s">
        <v>1165</v>
      </c>
      <c r="E23" s="13" t="s">
        <v>1194</v>
      </c>
      <c r="F23" s="17" t="s">
        <v>5</v>
      </c>
    </row>
    <row r="24" spans="1:9" ht="46.5" x14ac:dyDescent="0.35">
      <c r="A24" s="16" t="s">
        <v>1166</v>
      </c>
      <c r="B24" s="13" t="s">
        <v>1167</v>
      </c>
      <c r="C24" s="13" t="s">
        <v>1168</v>
      </c>
      <c r="D24" s="13" t="s">
        <v>1169</v>
      </c>
      <c r="E24" s="13" t="s">
        <v>1195</v>
      </c>
      <c r="F24" s="17" t="s">
        <v>5</v>
      </c>
    </row>
    <row r="25" spans="1:9" ht="46.5" x14ac:dyDescent="0.35">
      <c r="A25" s="16" t="s">
        <v>1170</v>
      </c>
      <c r="B25" s="13" t="s">
        <v>85</v>
      </c>
      <c r="C25" s="13" t="s">
        <v>1171</v>
      </c>
      <c r="D25" s="13" t="s">
        <v>1172</v>
      </c>
      <c r="E25" s="13" t="s">
        <v>102</v>
      </c>
      <c r="F25" s="17" t="s">
        <v>5</v>
      </c>
    </row>
    <row r="26" spans="1:9" x14ac:dyDescent="0.35">
      <c r="A26" s="16" t="s">
        <v>1173</v>
      </c>
      <c r="B26" s="13" t="s">
        <v>1174</v>
      </c>
      <c r="C26" s="13" t="s">
        <v>1175</v>
      </c>
      <c r="D26" s="13" t="s">
        <v>1176</v>
      </c>
      <c r="E26" s="13" t="s">
        <v>99</v>
      </c>
      <c r="F26" s="17" t="s">
        <v>5</v>
      </c>
    </row>
    <row r="27" spans="1:9" ht="46.5" x14ac:dyDescent="0.35">
      <c r="A27" s="16" t="s">
        <v>1177</v>
      </c>
      <c r="B27" s="13" t="s">
        <v>503</v>
      </c>
      <c r="C27" s="13" t="s">
        <v>1178</v>
      </c>
      <c r="D27" s="13" t="s">
        <v>1179</v>
      </c>
      <c r="E27" s="13" t="s">
        <v>201</v>
      </c>
      <c r="F27" s="17" t="s">
        <v>5</v>
      </c>
    </row>
    <row r="28" spans="1:9" ht="46.5" x14ac:dyDescent="0.35">
      <c r="A28" s="16" t="s">
        <v>1180</v>
      </c>
      <c r="B28" s="13" t="s">
        <v>1181</v>
      </c>
      <c r="C28" s="13" t="s">
        <v>1182</v>
      </c>
      <c r="D28" s="13" t="s">
        <v>1183</v>
      </c>
      <c r="E28" s="13" t="s">
        <v>102</v>
      </c>
      <c r="F28" s="17" t="s">
        <v>5</v>
      </c>
    </row>
    <row r="29" spans="1:9" ht="46.5" x14ac:dyDescent="0.35">
      <c r="A29" s="16" t="s">
        <v>1184</v>
      </c>
      <c r="B29" s="13" t="s">
        <v>1185</v>
      </c>
      <c r="C29" s="13" t="s">
        <v>1168</v>
      </c>
      <c r="D29" s="13" t="s">
        <v>1186</v>
      </c>
      <c r="E29" s="13" t="s">
        <v>99</v>
      </c>
      <c r="F29" s="17" t="s">
        <v>5</v>
      </c>
    </row>
    <row r="30" spans="1:9" ht="46.5" x14ac:dyDescent="0.35">
      <c r="A30" s="16" t="s">
        <v>1187</v>
      </c>
      <c r="B30" s="13" t="s">
        <v>85</v>
      </c>
      <c r="C30" s="13" t="s">
        <v>1188</v>
      </c>
      <c r="D30" s="13" t="s">
        <v>1189</v>
      </c>
      <c r="E30" s="13" t="s">
        <v>102</v>
      </c>
      <c r="F30" s="17" t="s">
        <v>5</v>
      </c>
    </row>
  </sheetData>
  <mergeCells count="25">
    <mergeCell ref="A1:I1"/>
    <mergeCell ref="E2:F2"/>
    <mergeCell ref="B3:C3"/>
    <mergeCell ref="F3:I3"/>
    <mergeCell ref="B4:C4"/>
    <mergeCell ref="F4:I4"/>
    <mergeCell ref="B15:D15"/>
    <mergeCell ref="B5:C5"/>
    <mergeCell ref="F5:I5"/>
    <mergeCell ref="B6:C6"/>
    <mergeCell ref="F6:I6"/>
    <mergeCell ref="B7:C7"/>
    <mergeCell ref="F7:I7"/>
    <mergeCell ref="F8:I8"/>
    <mergeCell ref="F9:I9"/>
    <mergeCell ref="A11:I11"/>
    <mergeCell ref="B13:D13"/>
    <mergeCell ref="B14:D14"/>
    <mergeCell ref="B16:I16"/>
    <mergeCell ref="B17:I17"/>
    <mergeCell ref="A19:A20"/>
    <mergeCell ref="B19:C19"/>
    <mergeCell ref="D19:D20"/>
    <mergeCell ref="E19:E20"/>
    <mergeCell ref="F19:F20"/>
  </mergeCells>
  <conditionalFormatting sqref="F21:F30">
    <cfRule type="cellIs" dxfId="50" priority="1" operator="equal">
      <formula>"Pass"</formula>
    </cfRule>
    <cfRule type="cellIs" dxfId="49" priority="2" operator="equal">
      <formula>"Fail"</formula>
    </cfRule>
    <cfRule type="cellIs" dxfId="48" priority="3" operator="equal">
      <formula>"Block"</formula>
    </cfRule>
  </conditionalFormatting>
  <dataValidations count="1">
    <dataValidation type="list" allowBlank="1" sqref="F21:F30" xr:uid="{122556AA-8CA2-4B31-8461-856C2C782A24}">
      <formula1>"Pass,Fail,No run,Block"</formula1>
      <formula2>0</formula2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F8C4-0353-4C55-94CC-22E484B8A658}">
  <dimension ref="A1:J16"/>
  <sheetViews>
    <sheetView topLeftCell="A5" workbookViewId="0">
      <selection activeCell="H11" sqref="H11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43.75" style="8" customWidth="1"/>
    <col min="5" max="5" width="15.75" style="8" customWidth="1"/>
    <col min="6" max="6" width="18.2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x14ac:dyDescent="0.35">
      <c r="A1" s="30" t="s">
        <v>57</v>
      </c>
      <c r="B1" s="30"/>
      <c r="C1" s="30"/>
      <c r="D1" s="30"/>
      <c r="E1" s="30"/>
      <c r="F1" s="30"/>
      <c r="I1" s="13"/>
      <c r="J1" s="15" t="s">
        <v>1202</v>
      </c>
    </row>
    <row r="2" spans="1:10" ht="46.5" x14ac:dyDescent="0.35">
      <c r="I2" s="17" t="s">
        <v>454</v>
      </c>
      <c r="J2" s="17" t="s">
        <v>1203</v>
      </c>
    </row>
    <row r="3" spans="1:10" x14ac:dyDescent="0.35">
      <c r="A3" s="12" t="s">
        <v>58</v>
      </c>
      <c r="B3" s="28" t="s">
        <v>1204</v>
      </c>
      <c r="C3" s="28"/>
      <c r="D3" s="28"/>
      <c r="E3" s="12" t="s">
        <v>60</v>
      </c>
      <c r="F3" s="14" t="s">
        <v>154</v>
      </c>
      <c r="I3" s="17" t="s">
        <v>301</v>
      </c>
      <c r="J3" s="17" t="s">
        <v>108</v>
      </c>
    </row>
    <row r="4" spans="1:10" x14ac:dyDescent="0.35">
      <c r="A4" s="12" t="s">
        <v>61</v>
      </c>
      <c r="B4" s="28" t="s">
        <v>308</v>
      </c>
      <c r="C4" s="28"/>
      <c r="D4" s="28"/>
      <c r="E4" s="12" t="s">
        <v>63</v>
      </c>
      <c r="F4" s="14" t="s">
        <v>156</v>
      </c>
      <c r="I4" s="17" t="s">
        <v>305</v>
      </c>
      <c r="J4" s="17" t="s">
        <v>228</v>
      </c>
    </row>
    <row r="5" spans="1:10" ht="46.5" x14ac:dyDescent="0.35">
      <c r="A5" s="12" t="s">
        <v>64</v>
      </c>
      <c r="B5" s="28" t="s">
        <v>65</v>
      </c>
      <c r="C5" s="28"/>
      <c r="D5" s="28"/>
      <c r="E5" s="12" t="s">
        <v>66</v>
      </c>
      <c r="F5" s="13" t="s">
        <v>67</v>
      </c>
      <c r="I5" s="17" t="s">
        <v>309</v>
      </c>
      <c r="J5" s="17" t="s">
        <v>224</v>
      </c>
    </row>
    <row r="6" spans="1:10" ht="46.5" x14ac:dyDescent="0.35">
      <c r="A6" s="12" t="s">
        <v>68</v>
      </c>
      <c r="B6" s="28" t="s">
        <v>1205</v>
      </c>
      <c r="C6" s="28"/>
      <c r="D6" s="28"/>
      <c r="E6" s="28"/>
      <c r="F6" s="28"/>
      <c r="I6" s="17" t="s">
        <v>233</v>
      </c>
      <c r="J6" s="17" t="s">
        <v>395</v>
      </c>
    </row>
    <row r="7" spans="1:10" ht="46.5" x14ac:dyDescent="0.35">
      <c r="A7" s="12" t="s">
        <v>70</v>
      </c>
      <c r="B7" s="28" t="s">
        <v>1206</v>
      </c>
      <c r="C7" s="28"/>
      <c r="D7" s="28"/>
      <c r="E7" s="28"/>
      <c r="F7" s="28"/>
    </row>
    <row r="9" spans="1:10" x14ac:dyDescent="0.35">
      <c r="A9" s="29" t="s">
        <v>72</v>
      </c>
      <c r="B9" s="29" t="s">
        <v>73</v>
      </c>
      <c r="C9" s="29"/>
      <c r="D9" s="29" t="s">
        <v>74</v>
      </c>
      <c r="E9" s="29" t="s">
        <v>75</v>
      </c>
      <c r="F9" s="29" t="s">
        <v>76</v>
      </c>
    </row>
    <row r="10" spans="1:10" x14ac:dyDescent="0.35">
      <c r="A10" s="29"/>
      <c r="B10" s="15" t="s">
        <v>1207</v>
      </c>
      <c r="C10" s="15" t="s">
        <v>1202</v>
      </c>
      <c r="D10" s="29"/>
      <c r="E10" s="29"/>
      <c r="F10" s="29"/>
    </row>
    <row r="11" spans="1:10" ht="46.5" x14ac:dyDescent="0.35">
      <c r="A11" s="16" t="s">
        <v>1208</v>
      </c>
      <c r="B11" s="13" t="s">
        <v>1209</v>
      </c>
      <c r="C11" s="13" t="s">
        <v>395</v>
      </c>
      <c r="D11" s="13" t="s">
        <v>1210</v>
      </c>
      <c r="E11" s="13" t="s">
        <v>1216</v>
      </c>
      <c r="F11" s="17" t="s">
        <v>5</v>
      </c>
    </row>
    <row r="12" spans="1:10" ht="46.5" x14ac:dyDescent="0.35">
      <c r="A12" s="16" t="s">
        <v>1211</v>
      </c>
      <c r="B12" s="13" t="s">
        <v>1212</v>
      </c>
      <c r="C12" s="13" t="s">
        <v>108</v>
      </c>
      <c r="D12" s="13" t="s">
        <v>1213</v>
      </c>
      <c r="E12" s="13" t="s">
        <v>102</v>
      </c>
      <c r="F12" s="17" t="s">
        <v>5</v>
      </c>
    </row>
    <row r="13" spans="1:10" x14ac:dyDescent="0.35">
      <c r="A13" s="16" t="s">
        <v>1214</v>
      </c>
      <c r="B13" s="13" t="s">
        <v>1215</v>
      </c>
      <c r="C13" s="13" t="s">
        <v>228</v>
      </c>
      <c r="D13" s="13" t="s">
        <v>1216</v>
      </c>
      <c r="E13" s="13" t="s">
        <v>1216</v>
      </c>
      <c r="F13" s="17" t="s">
        <v>5</v>
      </c>
    </row>
    <row r="14" spans="1:10" x14ac:dyDescent="0.35">
      <c r="A14" s="16" t="s">
        <v>1217</v>
      </c>
      <c r="B14" s="13" t="s">
        <v>1218</v>
      </c>
      <c r="C14" s="13" t="s">
        <v>224</v>
      </c>
      <c r="D14" s="13" t="s">
        <v>1216</v>
      </c>
      <c r="E14" s="13" t="s">
        <v>1216</v>
      </c>
      <c r="F14" s="17" t="s">
        <v>5</v>
      </c>
    </row>
    <row r="15" spans="1:10" ht="46.5" x14ac:dyDescent="0.35">
      <c r="A15" s="16" t="s">
        <v>1219</v>
      </c>
      <c r="B15" s="13" t="s">
        <v>1220</v>
      </c>
      <c r="C15" s="13" t="s">
        <v>1203</v>
      </c>
      <c r="D15" s="13" t="s">
        <v>1221</v>
      </c>
      <c r="E15" s="13" t="s">
        <v>102</v>
      </c>
      <c r="F15" s="17" t="s">
        <v>5</v>
      </c>
    </row>
    <row r="16" spans="1:10" ht="46.5" x14ac:dyDescent="0.35">
      <c r="A16" s="16" t="s">
        <v>1222</v>
      </c>
      <c r="B16" s="13" t="s">
        <v>1223</v>
      </c>
      <c r="C16" s="13" t="s">
        <v>1224</v>
      </c>
      <c r="D16" s="13" t="s">
        <v>1225</v>
      </c>
      <c r="E16" s="13" t="s">
        <v>1216</v>
      </c>
      <c r="F16" s="17" t="s">
        <v>5</v>
      </c>
    </row>
  </sheetData>
  <mergeCells count="11">
    <mergeCell ref="A1:F1"/>
    <mergeCell ref="B3:D3"/>
    <mergeCell ref="B4:D4"/>
    <mergeCell ref="B5:D5"/>
    <mergeCell ref="B6:F6"/>
    <mergeCell ref="B7:F7"/>
    <mergeCell ref="A9:A10"/>
    <mergeCell ref="B9:C9"/>
    <mergeCell ref="D9:D10"/>
    <mergeCell ref="E9:E10"/>
    <mergeCell ref="F9:F10"/>
  </mergeCells>
  <conditionalFormatting sqref="F11:F16">
    <cfRule type="cellIs" dxfId="47" priority="1" operator="equal">
      <formula>"Pass"</formula>
    </cfRule>
    <cfRule type="cellIs" dxfId="46" priority="2" operator="equal">
      <formula>"Fail"</formula>
    </cfRule>
    <cfRule type="cellIs" dxfId="45" priority="3" operator="equal">
      <formula>"Block"</formula>
    </cfRule>
  </conditionalFormatting>
  <dataValidations count="1">
    <dataValidation type="list" allowBlank="1" sqref="F11:F16" xr:uid="{4FBCCEBD-24AE-4D40-946C-C3CD6ECA5D38}">
      <formula1>"Pass,Fail,No run,Block"</formula1>
      <formula2>0</formula2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C2DB-13A0-4AED-8A1D-01DEF117771C}">
  <dimension ref="A1:I30"/>
  <sheetViews>
    <sheetView topLeftCell="A24" workbookViewId="0">
      <selection activeCell="H22" sqref="H22"/>
    </sheetView>
  </sheetViews>
  <sheetFormatPr defaultColWidth="7.625" defaultRowHeight="23.25" x14ac:dyDescent="0.35"/>
  <cols>
    <col min="1" max="3" width="19.25" style="8" customWidth="1"/>
    <col min="4" max="4" width="40.25" style="8" customWidth="1"/>
    <col min="5" max="5" width="31.25" style="8" customWidth="1"/>
    <col min="6" max="6" width="14.875" style="8" customWidth="1"/>
    <col min="7" max="8" width="12.25" style="8" customWidth="1"/>
    <col min="9" max="9" width="19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1226</v>
      </c>
      <c r="C4" s="31"/>
      <c r="E4" s="11" t="s">
        <v>21</v>
      </c>
      <c r="F4" s="31" t="s">
        <v>869</v>
      </c>
      <c r="G4" s="31"/>
      <c r="H4" s="31"/>
      <c r="I4" s="31"/>
    </row>
    <row r="5" spans="1:9" ht="24" thickBot="1" x14ac:dyDescent="0.4">
      <c r="A5" s="11" t="s">
        <v>23</v>
      </c>
      <c r="B5" s="31" t="s">
        <v>1227</v>
      </c>
      <c r="C5" s="31"/>
      <c r="E5" s="11" t="s">
        <v>25</v>
      </c>
      <c r="F5" s="31" t="s">
        <v>1228</v>
      </c>
      <c r="G5" s="31"/>
      <c r="H5" s="31"/>
      <c r="I5" s="31"/>
    </row>
    <row r="6" spans="1:9" ht="24" thickBot="1" x14ac:dyDescent="0.4">
      <c r="A6" s="11" t="s">
        <v>27</v>
      </c>
      <c r="B6" s="31" t="s">
        <v>1229</v>
      </c>
      <c r="C6" s="31"/>
      <c r="E6" s="11" t="s">
        <v>29</v>
      </c>
      <c r="F6" s="31" t="s">
        <v>1230</v>
      </c>
      <c r="G6" s="31"/>
      <c r="H6" s="31"/>
      <c r="I6" s="31"/>
    </row>
    <row r="7" spans="1:9" ht="24" thickBot="1" x14ac:dyDescent="0.4">
      <c r="A7" s="11" t="s">
        <v>31</v>
      </c>
      <c r="B7" s="31" t="s">
        <v>1231</v>
      </c>
      <c r="C7" s="31"/>
      <c r="E7" s="11" t="s">
        <v>33</v>
      </c>
      <c r="F7" s="31" t="s">
        <v>1232</v>
      </c>
      <c r="G7" s="31"/>
      <c r="H7" s="31"/>
      <c r="I7" s="31"/>
    </row>
    <row r="8" spans="1:9" ht="24" thickBot="1" x14ac:dyDescent="0.4">
      <c r="A8" s="11" t="s">
        <v>35</v>
      </c>
      <c r="B8" s="31" t="s">
        <v>1233</v>
      </c>
      <c r="C8" s="31"/>
    </row>
    <row r="9" spans="1:9" ht="24" thickBot="1" x14ac:dyDescent="0.4">
      <c r="A9" s="11" t="s">
        <v>39</v>
      </c>
      <c r="B9" s="31" t="s">
        <v>1234</v>
      </c>
      <c r="C9" s="31"/>
    </row>
    <row r="11" spans="1:9" x14ac:dyDescent="0.35">
      <c r="A11" s="30" t="s">
        <v>57</v>
      </c>
      <c r="B11" s="30"/>
      <c r="C11" s="30"/>
      <c r="D11" s="30"/>
      <c r="E11" s="30"/>
      <c r="F11" s="30"/>
      <c r="G11" s="30"/>
      <c r="H11" s="30"/>
      <c r="I11" s="30"/>
    </row>
    <row r="13" spans="1:9" x14ac:dyDescent="0.35">
      <c r="A13" s="12" t="s">
        <v>58</v>
      </c>
      <c r="B13" s="28" t="s">
        <v>1235</v>
      </c>
      <c r="C13" s="28"/>
      <c r="D13" s="28"/>
      <c r="E13" s="21"/>
      <c r="F13" s="21"/>
      <c r="G13" s="21"/>
      <c r="H13" s="12" t="s">
        <v>60</v>
      </c>
      <c r="I13" s="14" t="s">
        <v>154</v>
      </c>
    </row>
    <row r="14" spans="1:9" x14ac:dyDescent="0.35">
      <c r="A14" s="12" t="s">
        <v>61</v>
      </c>
      <c r="B14" s="28" t="s">
        <v>62</v>
      </c>
      <c r="C14" s="28"/>
      <c r="D14" s="28"/>
      <c r="E14" s="21"/>
      <c r="F14" s="21"/>
      <c r="G14" s="21"/>
      <c r="H14" s="12" t="s">
        <v>63</v>
      </c>
      <c r="I14" s="14" t="s">
        <v>156</v>
      </c>
    </row>
    <row r="15" spans="1:9" ht="46.5" x14ac:dyDescent="0.35">
      <c r="A15" s="12" t="s">
        <v>64</v>
      </c>
      <c r="B15" s="28" t="s">
        <v>65</v>
      </c>
      <c r="C15" s="28"/>
      <c r="D15" s="28"/>
      <c r="E15" s="21"/>
      <c r="F15" s="21"/>
      <c r="G15" s="21"/>
      <c r="H15" s="12" t="s">
        <v>66</v>
      </c>
      <c r="I15" s="13" t="s">
        <v>67</v>
      </c>
    </row>
    <row r="16" spans="1:9" ht="46.5" x14ac:dyDescent="0.35">
      <c r="A16" s="12" t="s">
        <v>68</v>
      </c>
      <c r="B16" s="28" t="s">
        <v>1236</v>
      </c>
      <c r="C16" s="28"/>
      <c r="D16" s="28"/>
      <c r="E16" s="28"/>
      <c r="F16" s="28"/>
      <c r="G16" s="28"/>
      <c r="H16" s="28"/>
      <c r="I16" s="28"/>
    </row>
    <row r="17" spans="1:9" ht="46.5" x14ac:dyDescent="0.35">
      <c r="A17" s="12" t="s">
        <v>70</v>
      </c>
      <c r="B17" s="28" t="s">
        <v>1237</v>
      </c>
      <c r="C17" s="28"/>
      <c r="D17" s="28"/>
      <c r="E17" s="28"/>
      <c r="F17" s="28"/>
      <c r="G17" s="28"/>
      <c r="H17" s="28"/>
      <c r="I17" s="28"/>
    </row>
    <row r="19" spans="1:9" x14ac:dyDescent="0.35">
      <c r="A19" s="29" t="s">
        <v>72</v>
      </c>
      <c r="B19" s="29" t="s">
        <v>73</v>
      </c>
      <c r="C19" s="29"/>
      <c r="D19" s="29" t="s">
        <v>74</v>
      </c>
      <c r="E19" s="29" t="s">
        <v>75</v>
      </c>
      <c r="F19" s="29" t="s">
        <v>76</v>
      </c>
    </row>
    <row r="20" spans="1:9" x14ac:dyDescent="0.35">
      <c r="A20" s="29"/>
      <c r="B20" s="15" t="s">
        <v>803</v>
      </c>
      <c r="C20" s="15" t="s">
        <v>1238</v>
      </c>
      <c r="D20" s="29"/>
      <c r="E20" s="29"/>
      <c r="F20" s="29"/>
    </row>
    <row r="21" spans="1:9" ht="46.5" x14ac:dyDescent="0.35">
      <c r="A21" s="16" t="s">
        <v>1239</v>
      </c>
      <c r="B21" s="13" t="s">
        <v>1240</v>
      </c>
      <c r="C21" s="13" t="s">
        <v>1241</v>
      </c>
      <c r="D21" s="13" t="s">
        <v>1242</v>
      </c>
      <c r="E21" s="13" t="s">
        <v>1407</v>
      </c>
      <c r="F21" s="17" t="s">
        <v>5</v>
      </c>
    </row>
    <row r="22" spans="1:9" ht="46.5" x14ac:dyDescent="0.35">
      <c r="A22" s="16" t="s">
        <v>1243</v>
      </c>
      <c r="B22" s="13" t="s">
        <v>1240</v>
      </c>
      <c r="C22" s="13" t="s">
        <v>1244</v>
      </c>
      <c r="D22" s="13" t="s">
        <v>1245</v>
      </c>
      <c r="E22" s="13" t="s">
        <v>1406</v>
      </c>
      <c r="F22" s="17" t="s">
        <v>5</v>
      </c>
    </row>
    <row r="23" spans="1:9" ht="46.5" x14ac:dyDescent="0.35">
      <c r="A23" s="16" t="s">
        <v>1246</v>
      </c>
      <c r="B23" s="13" t="s">
        <v>1240</v>
      </c>
      <c r="C23" s="13" t="s">
        <v>1247</v>
      </c>
      <c r="D23" s="13" t="s">
        <v>1248</v>
      </c>
      <c r="E23" s="13" t="s">
        <v>1405</v>
      </c>
      <c r="F23" s="17" t="s">
        <v>5</v>
      </c>
    </row>
    <row r="24" spans="1:9" ht="46.5" x14ac:dyDescent="0.35">
      <c r="A24" s="16" t="s">
        <v>1249</v>
      </c>
      <c r="B24" s="13" t="s">
        <v>1250</v>
      </c>
      <c r="C24" s="13" t="s">
        <v>1251</v>
      </c>
      <c r="D24" s="13" t="s">
        <v>1252</v>
      </c>
      <c r="E24" s="13" t="s">
        <v>1402</v>
      </c>
      <c r="F24" s="17" t="s">
        <v>5</v>
      </c>
    </row>
    <row r="25" spans="1:9" ht="46.5" x14ac:dyDescent="0.35">
      <c r="A25" s="16" t="s">
        <v>1253</v>
      </c>
      <c r="B25" s="13" t="s">
        <v>1250</v>
      </c>
      <c r="C25" s="13" t="s">
        <v>1254</v>
      </c>
      <c r="D25" s="13" t="s">
        <v>1255</v>
      </c>
      <c r="E25" s="13" t="s">
        <v>1403</v>
      </c>
      <c r="F25" s="17" t="s">
        <v>5</v>
      </c>
    </row>
    <row r="26" spans="1:9" ht="69.75" x14ac:dyDescent="0.35">
      <c r="A26" s="16" t="s">
        <v>1256</v>
      </c>
      <c r="B26" s="13" t="s">
        <v>1250</v>
      </c>
      <c r="C26" s="13" t="s">
        <v>1257</v>
      </c>
      <c r="D26" s="13" t="s">
        <v>1258</v>
      </c>
      <c r="E26" s="13" t="s">
        <v>1404</v>
      </c>
      <c r="F26" s="17" t="s">
        <v>5</v>
      </c>
    </row>
    <row r="27" spans="1:9" ht="46.5" x14ac:dyDescent="0.35">
      <c r="A27" s="16" t="s">
        <v>1259</v>
      </c>
      <c r="B27" s="13" t="s">
        <v>1260</v>
      </c>
      <c r="C27" s="13" t="s">
        <v>1261</v>
      </c>
      <c r="D27" s="13" t="s">
        <v>778</v>
      </c>
      <c r="E27" s="13" t="s">
        <v>99</v>
      </c>
      <c r="F27" s="17" t="s">
        <v>5</v>
      </c>
    </row>
    <row r="28" spans="1:9" ht="46.5" x14ac:dyDescent="0.35">
      <c r="A28" s="16" t="s">
        <v>1262</v>
      </c>
      <c r="B28" s="13" t="s">
        <v>1240</v>
      </c>
      <c r="C28" s="13" t="s">
        <v>503</v>
      </c>
      <c r="D28" s="13" t="s">
        <v>1263</v>
      </c>
      <c r="E28" s="13" t="s">
        <v>102</v>
      </c>
      <c r="F28" s="17" t="s">
        <v>5</v>
      </c>
    </row>
    <row r="29" spans="1:9" ht="46.5" x14ac:dyDescent="0.35">
      <c r="A29" s="16" t="s">
        <v>1264</v>
      </c>
      <c r="B29" s="13" t="s">
        <v>1250</v>
      </c>
      <c r="C29" s="13" t="s">
        <v>1226</v>
      </c>
      <c r="D29" s="13" t="s">
        <v>1265</v>
      </c>
      <c r="E29" s="13" t="s">
        <v>102</v>
      </c>
      <c r="F29" s="17" t="s">
        <v>5</v>
      </c>
    </row>
    <row r="30" spans="1:9" x14ac:dyDescent="0.35">
      <c r="A30" s="16" t="s">
        <v>1266</v>
      </c>
      <c r="B30" s="13" t="s">
        <v>1267</v>
      </c>
      <c r="C30" s="13" t="s">
        <v>1268</v>
      </c>
      <c r="D30" s="13" t="s">
        <v>1269</v>
      </c>
      <c r="E30" s="13" t="s">
        <v>99</v>
      </c>
      <c r="F30" s="17" t="s">
        <v>5</v>
      </c>
    </row>
  </sheetData>
  <mergeCells count="25">
    <mergeCell ref="A1:I1"/>
    <mergeCell ref="E2:F2"/>
    <mergeCell ref="B3:C3"/>
    <mergeCell ref="F3:I3"/>
    <mergeCell ref="B4:C4"/>
    <mergeCell ref="F4:I4"/>
    <mergeCell ref="B15:D15"/>
    <mergeCell ref="B5:C5"/>
    <mergeCell ref="F5:I5"/>
    <mergeCell ref="B6:C6"/>
    <mergeCell ref="F6:I6"/>
    <mergeCell ref="B7:C7"/>
    <mergeCell ref="F7:I7"/>
    <mergeCell ref="B8:C8"/>
    <mergeCell ref="B9:C9"/>
    <mergeCell ref="A11:I11"/>
    <mergeCell ref="B13:D13"/>
    <mergeCell ref="B14:D14"/>
    <mergeCell ref="B16:I16"/>
    <mergeCell ref="B17:I17"/>
    <mergeCell ref="A19:A20"/>
    <mergeCell ref="B19:C19"/>
    <mergeCell ref="D19:D20"/>
    <mergeCell ref="E19:E20"/>
    <mergeCell ref="F19:F20"/>
  </mergeCells>
  <conditionalFormatting sqref="F21:F30">
    <cfRule type="cellIs" dxfId="44" priority="1" operator="equal">
      <formula>"Pass"</formula>
    </cfRule>
    <cfRule type="cellIs" dxfId="43" priority="2" operator="equal">
      <formula>"Fail"</formula>
    </cfRule>
    <cfRule type="cellIs" dxfId="42" priority="3" operator="equal">
      <formula>"Block"</formula>
    </cfRule>
  </conditionalFormatting>
  <dataValidations count="1">
    <dataValidation type="list" allowBlank="1" sqref="F21:F30" xr:uid="{3AF21F68-C5F3-43A7-9232-94BAEBD9C0B6}">
      <formula1>"Pass,Fail,No run,Block"</formula1>
      <formula2>0</formula2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724C-981D-4114-8AC5-9C0A42AF40D9}">
  <dimension ref="A1:G53"/>
  <sheetViews>
    <sheetView topLeftCell="A11" workbookViewId="0">
      <selection activeCell="J33" sqref="J33"/>
    </sheetView>
  </sheetViews>
  <sheetFormatPr defaultColWidth="7.625" defaultRowHeight="23.25" x14ac:dyDescent="0.35"/>
  <cols>
    <col min="1" max="1" width="29.75" style="8" customWidth="1"/>
    <col min="2" max="4" width="14" style="8" customWidth="1"/>
    <col min="5" max="5" width="42" style="8" customWidth="1"/>
    <col min="6" max="6" width="32.75" style="8" customWidth="1"/>
    <col min="7" max="7" width="17.25" style="8" customWidth="1"/>
    <col min="8" max="16384" width="7.625" style="8"/>
  </cols>
  <sheetData>
    <row r="1" spans="1:7" x14ac:dyDescent="0.35">
      <c r="A1" s="23" t="s">
        <v>361</v>
      </c>
    </row>
    <row r="2" spans="1:7" ht="22.5" customHeight="1" x14ac:dyDescent="0.35">
      <c r="A2" s="39" t="s">
        <v>1270</v>
      </c>
      <c r="B2" s="39"/>
      <c r="C2" s="39"/>
      <c r="D2" s="39"/>
      <c r="E2" s="39"/>
      <c r="F2" s="39"/>
      <c r="G2" s="39"/>
    </row>
    <row r="3" spans="1:7" ht="22.5" customHeight="1" x14ac:dyDescent="0.35">
      <c r="A3" s="39" t="s">
        <v>1271</v>
      </c>
      <c r="B3" s="39"/>
      <c r="C3" s="39"/>
      <c r="D3" s="39"/>
      <c r="E3" s="39"/>
      <c r="F3" s="39"/>
      <c r="G3" s="39"/>
    </row>
    <row r="5" spans="1:7" x14ac:dyDescent="0.35">
      <c r="A5" s="18" t="s">
        <v>18</v>
      </c>
      <c r="B5" s="19" t="s">
        <v>126</v>
      </c>
      <c r="C5" s="19" t="s">
        <v>127</v>
      </c>
      <c r="D5" s="19" t="s">
        <v>128</v>
      </c>
      <c r="E5" s="19" t="s">
        <v>129</v>
      </c>
      <c r="F5" s="19" t="s">
        <v>130</v>
      </c>
    </row>
    <row r="6" spans="1:7" ht="22.5" customHeight="1" x14ac:dyDescent="0.35">
      <c r="A6" s="13" t="s">
        <v>502</v>
      </c>
      <c r="B6" s="17" t="s">
        <v>1272</v>
      </c>
      <c r="C6" s="17" t="s">
        <v>1273</v>
      </c>
      <c r="D6" s="17" t="s">
        <v>506</v>
      </c>
      <c r="E6" s="17" t="s">
        <v>419</v>
      </c>
      <c r="F6" s="17" t="s">
        <v>410</v>
      </c>
    </row>
    <row r="7" spans="1:7" ht="22.5" customHeight="1" x14ac:dyDescent="0.35">
      <c r="A7" s="13" t="s">
        <v>1274</v>
      </c>
      <c r="B7" s="17" t="s">
        <v>1275</v>
      </c>
      <c r="C7" s="17" t="s">
        <v>510</v>
      </c>
      <c r="D7" s="17" t="s">
        <v>510</v>
      </c>
      <c r="E7" s="17" t="s">
        <v>510</v>
      </c>
      <c r="F7" s="17" t="s">
        <v>510</v>
      </c>
    </row>
    <row r="8" spans="1:7" ht="22.5" customHeight="1" x14ac:dyDescent="0.35">
      <c r="A8" s="13" t="s">
        <v>1276</v>
      </c>
      <c r="B8" s="17" t="s">
        <v>1277</v>
      </c>
      <c r="C8" s="17" t="s">
        <v>1275</v>
      </c>
      <c r="D8" s="17" t="s">
        <v>510</v>
      </c>
      <c r="E8" s="17" t="s">
        <v>510</v>
      </c>
      <c r="F8" s="17" t="s">
        <v>510</v>
      </c>
    </row>
    <row r="9" spans="1:7" ht="22.5" customHeight="1" x14ac:dyDescent="0.35">
      <c r="A9" s="13" t="s">
        <v>1278</v>
      </c>
      <c r="B9" s="17" t="s">
        <v>510</v>
      </c>
      <c r="C9" s="17" t="s">
        <v>1277</v>
      </c>
      <c r="D9" s="17" t="s">
        <v>1275</v>
      </c>
      <c r="E9" s="17" t="s">
        <v>510</v>
      </c>
      <c r="F9" s="17" t="s">
        <v>510</v>
      </c>
    </row>
    <row r="10" spans="1:7" ht="22.5" customHeight="1" x14ac:dyDescent="0.35">
      <c r="A10" s="13" t="s">
        <v>1279</v>
      </c>
      <c r="B10" s="17" t="s">
        <v>510</v>
      </c>
      <c r="C10" s="17" t="s">
        <v>510</v>
      </c>
      <c r="D10" s="17" t="s">
        <v>1277</v>
      </c>
      <c r="E10" s="17" t="s">
        <v>1275</v>
      </c>
      <c r="F10" s="17" t="s">
        <v>510</v>
      </c>
    </row>
    <row r="11" spans="1:7" ht="22.5" customHeight="1" x14ac:dyDescent="0.35">
      <c r="A11" s="13" t="s">
        <v>1280</v>
      </c>
      <c r="B11" s="17" t="s">
        <v>1277</v>
      </c>
      <c r="C11" s="17" t="s">
        <v>1277</v>
      </c>
      <c r="D11" s="17" t="s">
        <v>510</v>
      </c>
      <c r="E11" s="17" t="s">
        <v>510</v>
      </c>
      <c r="F11" s="17" t="s">
        <v>1275</v>
      </c>
    </row>
    <row r="12" spans="1:7" x14ac:dyDescent="0.35">
      <c r="A12" s="18" t="s">
        <v>143</v>
      </c>
      <c r="B12" s="20"/>
      <c r="C12" s="20"/>
      <c r="D12" s="20"/>
      <c r="E12" s="20"/>
      <c r="F12" s="20"/>
    </row>
    <row r="13" spans="1:7" ht="22.5" customHeight="1" x14ac:dyDescent="0.35">
      <c r="A13" s="13" t="s">
        <v>1281</v>
      </c>
      <c r="B13" s="17" t="s">
        <v>145</v>
      </c>
      <c r="C13" s="17" t="s">
        <v>145</v>
      </c>
      <c r="D13" s="17" t="s">
        <v>145</v>
      </c>
      <c r="E13" s="17" t="s">
        <v>145</v>
      </c>
      <c r="F13" s="17" t="s">
        <v>145</v>
      </c>
    </row>
    <row r="14" spans="1:7" ht="22.5" customHeight="1" x14ac:dyDescent="0.35">
      <c r="A14" s="13" t="s">
        <v>1282</v>
      </c>
      <c r="B14" s="17" t="s">
        <v>145</v>
      </c>
      <c r="C14" s="17" t="s">
        <v>145</v>
      </c>
      <c r="D14" s="17" t="s">
        <v>145</v>
      </c>
      <c r="E14" s="17" t="s">
        <v>145</v>
      </c>
      <c r="F14" s="17" t="s">
        <v>145</v>
      </c>
    </row>
    <row r="15" spans="1:7" ht="22.5" customHeight="1" x14ac:dyDescent="0.35">
      <c r="A15" s="13" t="s">
        <v>1283</v>
      </c>
      <c r="B15" s="17" t="s">
        <v>145</v>
      </c>
      <c r="C15" s="17" t="s">
        <v>145</v>
      </c>
      <c r="D15" s="17" t="s">
        <v>145</v>
      </c>
      <c r="E15" s="17" t="s">
        <v>145</v>
      </c>
      <c r="F15" s="17" t="s">
        <v>145</v>
      </c>
    </row>
    <row r="16" spans="1:7" x14ac:dyDescent="0.35">
      <c r="A16" s="13" t="s">
        <v>151</v>
      </c>
      <c r="B16" s="17"/>
      <c r="C16" s="17"/>
      <c r="D16" s="17"/>
      <c r="E16" s="17"/>
      <c r="F16" s="17"/>
    </row>
    <row r="18" spans="1:7" ht="20.100000000000001" customHeight="1" x14ac:dyDescent="0.35">
      <c r="A18" s="30" t="s">
        <v>57</v>
      </c>
      <c r="B18" s="30"/>
      <c r="C18" s="30"/>
      <c r="D18" s="30"/>
      <c r="E18" s="30"/>
      <c r="F18" s="30"/>
      <c r="G18" s="30"/>
    </row>
    <row r="20" spans="1:7" ht="22.5" customHeight="1" x14ac:dyDescent="0.35">
      <c r="A20" s="12" t="s">
        <v>58</v>
      </c>
      <c r="B20" s="28" t="s">
        <v>1284</v>
      </c>
      <c r="C20" s="28"/>
      <c r="D20" s="28"/>
      <c r="E20" s="28"/>
      <c r="F20" s="12" t="s">
        <v>60</v>
      </c>
      <c r="G20" s="14" t="s">
        <v>154</v>
      </c>
    </row>
    <row r="21" spans="1:7" ht="22.5" customHeight="1" x14ac:dyDescent="0.35">
      <c r="A21" s="12" t="s">
        <v>61</v>
      </c>
      <c r="B21" s="28" t="s">
        <v>525</v>
      </c>
      <c r="C21" s="28"/>
      <c r="D21" s="28"/>
      <c r="E21" s="28"/>
      <c r="F21" s="12" t="s">
        <v>63</v>
      </c>
      <c r="G21" s="14" t="s">
        <v>156</v>
      </c>
    </row>
    <row r="22" spans="1:7" ht="64.5" customHeight="1" x14ac:dyDescent="0.35">
      <c r="A22" s="12" t="s">
        <v>64</v>
      </c>
      <c r="B22" s="28" t="s">
        <v>65</v>
      </c>
      <c r="C22" s="28"/>
      <c r="D22" s="28"/>
      <c r="E22" s="28"/>
      <c r="F22" s="12" t="s">
        <v>66</v>
      </c>
      <c r="G22" s="13" t="s">
        <v>67</v>
      </c>
    </row>
    <row r="23" spans="1:7" ht="22.5" customHeight="1" x14ac:dyDescent="0.35">
      <c r="A23" s="12" t="s">
        <v>68</v>
      </c>
      <c r="B23" s="28" t="s">
        <v>1285</v>
      </c>
      <c r="C23" s="28"/>
      <c r="D23" s="28"/>
      <c r="E23" s="28"/>
      <c r="F23" s="28"/>
      <c r="G23" s="28"/>
    </row>
    <row r="24" spans="1:7" ht="22.5" customHeight="1" x14ac:dyDescent="0.35">
      <c r="A24" s="12" t="s">
        <v>70</v>
      </c>
      <c r="B24" s="28" t="s">
        <v>1286</v>
      </c>
      <c r="C24" s="28"/>
      <c r="D24" s="28"/>
      <c r="E24" s="28"/>
      <c r="F24" s="28"/>
      <c r="G24" s="28"/>
    </row>
    <row r="26" spans="1:7" ht="24" customHeight="1" x14ac:dyDescent="0.35">
      <c r="A26" s="29" t="s">
        <v>159</v>
      </c>
      <c r="B26" s="29" t="s">
        <v>72</v>
      </c>
      <c r="C26" s="29" t="s">
        <v>73</v>
      </c>
      <c r="D26" s="29"/>
      <c r="E26" s="29" t="s">
        <v>74</v>
      </c>
      <c r="F26" s="29" t="s">
        <v>75</v>
      </c>
      <c r="G26" s="29" t="s">
        <v>76</v>
      </c>
    </row>
    <row r="27" spans="1:7" ht="64.5" customHeight="1" x14ac:dyDescent="0.35">
      <c r="A27" s="29"/>
      <c r="B27" s="29"/>
      <c r="C27" s="15" t="s">
        <v>528</v>
      </c>
      <c r="D27" s="15" t="s">
        <v>1287</v>
      </c>
      <c r="E27" s="29"/>
      <c r="F27" s="29"/>
      <c r="G27" s="29"/>
    </row>
    <row r="28" spans="1:7" ht="22.5" customHeight="1" x14ac:dyDescent="0.35">
      <c r="A28" s="17" t="s">
        <v>1288</v>
      </c>
      <c r="B28" s="16" t="s">
        <v>1289</v>
      </c>
      <c r="C28" s="13" t="s">
        <v>1272</v>
      </c>
      <c r="D28" s="13" t="s">
        <v>1272</v>
      </c>
      <c r="E28" s="13" t="s">
        <v>1290</v>
      </c>
      <c r="F28" s="13" t="s">
        <v>1408</v>
      </c>
      <c r="G28" s="17" t="s">
        <v>5</v>
      </c>
    </row>
    <row r="29" spans="1:7" ht="53.25" customHeight="1" x14ac:dyDescent="0.35">
      <c r="A29" s="17" t="s">
        <v>1291</v>
      </c>
      <c r="B29" s="16" t="s">
        <v>1292</v>
      </c>
      <c r="C29" s="13" t="s">
        <v>1272</v>
      </c>
      <c r="D29" s="13" t="s">
        <v>1273</v>
      </c>
      <c r="E29" s="13" t="s">
        <v>1293</v>
      </c>
      <c r="F29" s="13" t="s">
        <v>1409</v>
      </c>
      <c r="G29" s="17" t="s">
        <v>5</v>
      </c>
    </row>
    <row r="30" spans="1:7" ht="64.5" customHeight="1" x14ac:dyDescent="0.35">
      <c r="A30" s="17" t="s">
        <v>1294</v>
      </c>
      <c r="B30" s="16" t="s">
        <v>1295</v>
      </c>
      <c r="C30" s="13" t="s">
        <v>1272</v>
      </c>
      <c r="D30" s="13" t="s">
        <v>506</v>
      </c>
      <c r="E30" s="13" t="s">
        <v>1296</v>
      </c>
      <c r="F30" s="13" t="s">
        <v>102</v>
      </c>
      <c r="G30" s="17" t="s">
        <v>5</v>
      </c>
    </row>
    <row r="31" spans="1:7" ht="64.5" customHeight="1" x14ac:dyDescent="0.35">
      <c r="A31" s="17" t="s">
        <v>1297</v>
      </c>
      <c r="B31" s="16" t="s">
        <v>1298</v>
      </c>
      <c r="C31" s="13" t="s">
        <v>1272</v>
      </c>
      <c r="D31" s="13" t="s">
        <v>419</v>
      </c>
      <c r="E31" s="13" t="s">
        <v>1299</v>
      </c>
      <c r="F31" s="13" t="s">
        <v>102</v>
      </c>
      <c r="G31" s="17" t="s">
        <v>5</v>
      </c>
    </row>
    <row r="32" spans="1:7" ht="22.5" customHeight="1" x14ac:dyDescent="0.35">
      <c r="A32" s="17" t="s">
        <v>1300</v>
      </c>
      <c r="B32" s="16" t="s">
        <v>1301</v>
      </c>
      <c r="C32" s="13" t="s">
        <v>1272</v>
      </c>
      <c r="D32" s="13" t="s">
        <v>410</v>
      </c>
      <c r="E32" s="13" t="s">
        <v>1302</v>
      </c>
      <c r="F32" s="13" t="s">
        <v>1410</v>
      </c>
      <c r="G32" s="17" t="s">
        <v>5</v>
      </c>
    </row>
    <row r="33" spans="1:7" ht="64.5" customHeight="1" x14ac:dyDescent="0.35">
      <c r="A33" s="17" t="s">
        <v>1303</v>
      </c>
      <c r="B33" s="16" t="s">
        <v>1304</v>
      </c>
      <c r="C33" s="13" t="s">
        <v>1273</v>
      </c>
      <c r="D33" s="13" t="s">
        <v>1272</v>
      </c>
      <c r="E33" s="13" t="s">
        <v>1305</v>
      </c>
      <c r="F33" s="13" t="s">
        <v>102</v>
      </c>
      <c r="G33" s="17" t="s">
        <v>5</v>
      </c>
    </row>
    <row r="34" spans="1:7" ht="22.5" customHeight="1" x14ac:dyDescent="0.35">
      <c r="A34" s="17" t="s">
        <v>1306</v>
      </c>
      <c r="B34" s="16" t="s">
        <v>1307</v>
      </c>
      <c r="C34" s="13" t="s">
        <v>1273</v>
      </c>
      <c r="D34" s="13" t="s">
        <v>1273</v>
      </c>
      <c r="E34" s="13" t="s">
        <v>1290</v>
      </c>
      <c r="F34" s="13" t="s">
        <v>1408</v>
      </c>
      <c r="G34" s="17" t="s">
        <v>5</v>
      </c>
    </row>
    <row r="35" spans="1:7" ht="22.5" customHeight="1" x14ac:dyDescent="0.35">
      <c r="A35" s="17" t="s">
        <v>1308</v>
      </c>
      <c r="B35" s="16" t="s">
        <v>1309</v>
      </c>
      <c r="C35" s="13" t="s">
        <v>1273</v>
      </c>
      <c r="D35" s="13" t="s">
        <v>506</v>
      </c>
      <c r="E35" s="13" t="s">
        <v>1310</v>
      </c>
      <c r="F35" s="13" t="s">
        <v>1410</v>
      </c>
      <c r="G35" s="17" t="s">
        <v>5</v>
      </c>
    </row>
    <row r="36" spans="1:7" ht="64.5" customHeight="1" x14ac:dyDescent="0.35">
      <c r="A36" s="17" t="s">
        <v>1311</v>
      </c>
      <c r="B36" s="16" t="s">
        <v>1312</v>
      </c>
      <c r="C36" s="13" t="s">
        <v>1273</v>
      </c>
      <c r="D36" s="13" t="s">
        <v>419</v>
      </c>
      <c r="E36" s="13" t="s">
        <v>1313</v>
      </c>
      <c r="F36" s="13" t="s">
        <v>102</v>
      </c>
      <c r="G36" s="17" t="s">
        <v>5</v>
      </c>
    </row>
    <row r="37" spans="1:7" ht="22.5" customHeight="1" x14ac:dyDescent="0.35">
      <c r="A37" s="17" t="s">
        <v>1314</v>
      </c>
      <c r="B37" s="16" t="s">
        <v>1315</v>
      </c>
      <c r="C37" s="13" t="s">
        <v>1273</v>
      </c>
      <c r="D37" s="13" t="s">
        <v>410</v>
      </c>
      <c r="E37" s="13" t="s">
        <v>1302</v>
      </c>
      <c r="F37" s="13" t="s">
        <v>1410</v>
      </c>
      <c r="G37" s="17" t="s">
        <v>5</v>
      </c>
    </row>
    <row r="38" spans="1:7" ht="64.5" customHeight="1" x14ac:dyDescent="0.35">
      <c r="A38" s="17" t="s">
        <v>1316</v>
      </c>
      <c r="B38" s="16" t="s">
        <v>1317</v>
      </c>
      <c r="C38" s="13" t="s">
        <v>506</v>
      </c>
      <c r="D38" s="13" t="s">
        <v>1272</v>
      </c>
      <c r="E38" s="13" t="s">
        <v>1318</v>
      </c>
      <c r="F38" s="13" t="s">
        <v>102</v>
      </c>
      <c r="G38" s="17" t="s">
        <v>5</v>
      </c>
    </row>
    <row r="39" spans="1:7" ht="64.5" customHeight="1" x14ac:dyDescent="0.35">
      <c r="A39" s="17" t="s">
        <v>1319</v>
      </c>
      <c r="B39" s="16" t="s">
        <v>1320</v>
      </c>
      <c r="C39" s="13" t="s">
        <v>506</v>
      </c>
      <c r="D39" s="13" t="s">
        <v>1273</v>
      </c>
      <c r="E39" s="13" t="s">
        <v>1321</v>
      </c>
      <c r="F39" s="13" t="s">
        <v>102</v>
      </c>
      <c r="G39" s="17" t="s">
        <v>5</v>
      </c>
    </row>
    <row r="40" spans="1:7" ht="22.5" customHeight="1" x14ac:dyDescent="0.35">
      <c r="A40" s="17" t="s">
        <v>1322</v>
      </c>
      <c r="B40" s="16" t="s">
        <v>1323</v>
      </c>
      <c r="C40" s="13" t="s">
        <v>506</v>
      </c>
      <c r="D40" s="13" t="s">
        <v>506</v>
      </c>
      <c r="E40" s="13" t="s">
        <v>1290</v>
      </c>
      <c r="F40" s="13" t="s">
        <v>1408</v>
      </c>
      <c r="G40" s="17" t="s">
        <v>5</v>
      </c>
    </row>
    <row r="41" spans="1:7" ht="22.5" customHeight="1" x14ac:dyDescent="0.35">
      <c r="A41" s="17" t="s">
        <v>1324</v>
      </c>
      <c r="B41" s="16" t="s">
        <v>1325</v>
      </c>
      <c r="C41" s="13" t="s">
        <v>506</v>
      </c>
      <c r="D41" s="13" t="s">
        <v>419</v>
      </c>
      <c r="E41" s="13" t="s">
        <v>1326</v>
      </c>
      <c r="F41" s="13" t="s">
        <v>1411</v>
      </c>
      <c r="G41" s="17" t="s">
        <v>5</v>
      </c>
    </row>
    <row r="42" spans="1:7" ht="64.5" customHeight="1" x14ac:dyDescent="0.35">
      <c r="A42" s="17" t="s">
        <v>1327</v>
      </c>
      <c r="B42" s="16" t="s">
        <v>1328</v>
      </c>
      <c r="C42" s="13" t="s">
        <v>506</v>
      </c>
      <c r="D42" s="13" t="s">
        <v>410</v>
      </c>
      <c r="E42" s="13" t="s">
        <v>1329</v>
      </c>
      <c r="F42" s="13" t="s">
        <v>102</v>
      </c>
      <c r="G42" s="17" t="s">
        <v>5</v>
      </c>
    </row>
    <row r="43" spans="1:7" ht="64.5" customHeight="1" x14ac:dyDescent="0.35">
      <c r="A43" s="17" t="s">
        <v>1330</v>
      </c>
      <c r="B43" s="16" t="s">
        <v>1331</v>
      </c>
      <c r="C43" s="13" t="s">
        <v>419</v>
      </c>
      <c r="D43" s="13" t="s">
        <v>1272</v>
      </c>
      <c r="E43" s="13" t="s">
        <v>1332</v>
      </c>
      <c r="F43" s="13" t="s">
        <v>102</v>
      </c>
      <c r="G43" s="17" t="s">
        <v>5</v>
      </c>
    </row>
    <row r="44" spans="1:7" ht="64.5" customHeight="1" x14ac:dyDescent="0.35">
      <c r="A44" s="17" t="s">
        <v>1333</v>
      </c>
      <c r="B44" s="16" t="s">
        <v>1334</v>
      </c>
      <c r="C44" s="13" t="s">
        <v>419</v>
      </c>
      <c r="D44" s="13" t="s">
        <v>1273</v>
      </c>
      <c r="E44" s="13" t="s">
        <v>1335</v>
      </c>
      <c r="F44" s="13" t="s">
        <v>102</v>
      </c>
      <c r="G44" s="17" t="s">
        <v>5</v>
      </c>
    </row>
    <row r="45" spans="1:7" ht="64.5" customHeight="1" x14ac:dyDescent="0.35">
      <c r="A45" s="17" t="s">
        <v>1336</v>
      </c>
      <c r="B45" s="16" t="s">
        <v>1337</v>
      </c>
      <c r="C45" s="13" t="s">
        <v>419</v>
      </c>
      <c r="D45" s="13" t="s">
        <v>506</v>
      </c>
      <c r="E45" s="13" t="s">
        <v>1338</v>
      </c>
      <c r="F45" s="13" t="s">
        <v>102</v>
      </c>
      <c r="G45" s="17" t="s">
        <v>5</v>
      </c>
    </row>
    <row r="46" spans="1:7" ht="22.5" customHeight="1" x14ac:dyDescent="0.35">
      <c r="A46" s="17" t="s">
        <v>1339</v>
      </c>
      <c r="B46" s="16" t="s">
        <v>1340</v>
      </c>
      <c r="C46" s="13" t="s">
        <v>419</v>
      </c>
      <c r="D46" s="13" t="s">
        <v>419</v>
      </c>
      <c r="E46" s="13" t="s">
        <v>1290</v>
      </c>
      <c r="F46" s="13" t="s">
        <v>1408</v>
      </c>
      <c r="G46" s="17" t="s">
        <v>5</v>
      </c>
    </row>
    <row r="47" spans="1:7" ht="64.5" customHeight="1" x14ac:dyDescent="0.35">
      <c r="A47" s="17" t="s">
        <v>1341</v>
      </c>
      <c r="B47" s="16" t="s">
        <v>1342</v>
      </c>
      <c r="C47" s="13" t="s">
        <v>419</v>
      </c>
      <c r="D47" s="13" t="s">
        <v>410</v>
      </c>
      <c r="E47" s="13" t="s">
        <v>1343</v>
      </c>
      <c r="F47" s="13" t="s">
        <v>102</v>
      </c>
      <c r="G47" s="17" t="s">
        <v>5</v>
      </c>
    </row>
    <row r="48" spans="1:7" ht="64.5" customHeight="1" x14ac:dyDescent="0.35">
      <c r="A48" s="17" t="s">
        <v>1344</v>
      </c>
      <c r="B48" s="16" t="s">
        <v>1345</v>
      </c>
      <c r="C48" s="13" t="s">
        <v>410</v>
      </c>
      <c r="D48" s="13" t="s">
        <v>1272</v>
      </c>
      <c r="E48" s="13" t="s">
        <v>1346</v>
      </c>
      <c r="F48" s="13" t="s">
        <v>102</v>
      </c>
      <c r="G48" s="17" t="s">
        <v>5</v>
      </c>
    </row>
    <row r="49" spans="1:7" ht="64.5" customHeight="1" x14ac:dyDescent="0.35">
      <c r="A49" s="17" t="s">
        <v>1347</v>
      </c>
      <c r="B49" s="16" t="s">
        <v>1348</v>
      </c>
      <c r="C49" s="13" t="s">
        <v>410</v>
      </c>
      <c r="D49" s="13" t="s">
        <v>1273</v>
      </c>
      <c r="E49" s="13" t="s">
        <v>1349</v>
      </c>
      <c r="F49" s="13" t="s">
        <v>102</v>
      </c>
      <c r="G49" s="17" t="s">
        <v>5</v>
      </c>
    </row>
    <row r="50" spans="1:7" ht="64.5" customHeight="1" x14ac:dyDescent="0.35">
      <c r="A50" s="17" t="s">
        <v>1350</v>
      </c>
      <c r="B50" s="16" t="s">
        <v>1351</v>
      </c>
      <c r="C50" s="13" t="s">
        <v>410</v>
      </c>
      <c r="D50" s="13" t="s">
        <v>506</v>
      </c>
      <c r="E50" s="13" t="s">
        <v>1352</v>
      </c>
      <c r="F50" s="13" t="s">
        <v>102</v>
      </c>
      <c r="G50" s="17" t="s">
        <v>5</v>
      </c>
    </row>
    <row r="51" spans="1:7" ht="64.5" customHeight="1" x14ac:dyDescent="0.35">
      <c r="A51" s="17" t="s">
        <v>1353</v>
      </c>
      <c r="B51" s="16" t="s">
        <v>1354</v>
      </c>
      <c r="C51" s="13" t="s">
        <v>410</v>
      </c>
      <c r="D51" s="13" t="s">
        <v>419</v>
      </c>
      <c r="E51" s="13" t="s">
        <v>1355</v>
      </c>
      <c r="F51" s="13" t="s">
        <v>102</v>
      </c>
      <c r="G51" s="17" t="s">
        <v>5</v>
      </c>
    </row>
    <row r="52" spans="1:7" ht="22.5" customHeight="1" x14ac:dyDescent="0.35">
      <c r="A52" s="17" t="s">
        <v>1356</v>
      </c>
      <c r="B52" s="16" t="s">
        <v>1357</v>
      </c>
      <c r="C52" s="13" t="s">
        <v>410</v>
      </c>
      <c r="D52" s="13" t="s">
        <v>410</v>
      </c>
      <c r="E52" s="13" t="s">
        <v>1290</v>
      </c>
      <c r="F52" s="13" t="s">
        <v>1408</v>
      </c>
      <c r="G52" s="17" t="s">
        <v>5</v>
      </c>
    </row>
    <row r="53" spans="1:7" ht="22.5" customHeight="1" x14ac:dyDescent="0.35">
      <c r="A53" s="17" t="s">
        <v>93</v>
      </c>
      <c r="B53" s="16" t="s">
        <v>1358</v>
      </c>
      <c r="C53" s="13" t="s">
        <v>1272</v>
      </c>
      <c r="D53" s="13" t="s">
        <v>93</v>
      </c>
      <c r="E53" s="13" t="s">
        <v>1359</v>
      </c>
      <c r="F53" s="13" t="s">
        <v>102</v>
      </c>
      <c r="G53" s="17" t="s">
        <v>5</v>
      </c>
    </row>
  </sheetData>
  <mergeCells count="14">
    <mergeCell ref="B22:E22"/>
    <mergeCell ref="A2:G2"/>
    <mergeCell ref="A3:G3"/>
    <mergeCell ref="A18:G18"/>
    <mergeCell ref="B20:E20"/>
    <mergeCell ref="B21:E21"/>
    <mergeCell ref="B23:G23"/>
    <mergeCell ref="B24:G24"/>
    <mergeCell ref="A26:A27"/>
    <mergeCell ref="B26:B27"/>
    <mergeCell ref="C26:D26"/>
    <mergeCell ref="E26:E27"/>
    <mergeCell ref="F26:F27"/>
    <mergeCell ref="G26:G27"/>
  </mergeCells>
  <conditionalFormatting sqref="G28:G53">
    <cfRule type="cellIs" dxfId="41" priority="1" operator="equal">
      <formula>"Pass"</formula>
    </cfRule>
    <cfRule type="cellIs" dxfId="40" priority="2" operator="equal">
      <formula>"Fail"</formula>
    </cfRule>
    <cfRule type="cellIs" dxfId="39" priority="3" operator="equal">
      <formula>"Block"</formula>
    </cfRule>
  </conditionalFormatting>
  <dataValidations count="1">
    <dataValidation type="list" allowBlank="1" sqref="G28:G53" xr:uid="{FCAE8B5A-1B1A-47A6-950D-B05032936320}">
      <formula1>"Pass,Fail,No run,Block"</formula1>
      <formula2>0</formula2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C4EB-A61C-4E36-B385-AA19E08C3E97}">
  <dimension ref="A1:H34"/>
  <sheetViews>
    <sheetView topLeftCell="A13" workbookViewId="0">
      <selection activeCell="H19" sqref="H19:H20"/>
    </sheetView>
  </sheetViews>
  <sheetFormatPr defaultColWidth="7.625" defaultRowHeight="23.25" x14ac:dyDescent="0.35"/>
  <cols>
    <col min="1" max="1" width="29.75" style="8" customWidth="1"/>
    <col min="2" max="5" width="14" style="8" customWidth="1"/>
    <col min="6" max="6" width="42" style="8" customWidth="1"/>
    <col min="7" max="7" width="32.625" style="8" customWidth="1"/>
    <col min="8" max="8" width="17.625" style="8" customWidth="1"/>
    <col min="9" max="16384" width="7.625" style="8"/>
  </cols>
  <sheetData>
    <row r="1" spans="1:8" x14ac:dyDescent="0.35">
      <c r="A1" s="23" t="s">
        <v>361</v>
      </c>
    </row>
    <row r="2" spans="1:8" x14ac:dyDescent="0.35">
      <c r="A2" s="39" t="s">
        <v>1360</v>
      </c>
      <c r="B2" s="39"/>
      <c r="C2" s="39"/>
      <c r="D2" s="39"/>
      <c r="E2" s="39"/>
      <c r="F2" s="39"/>
      <c r="G2" s="39"/>
      <c r="H2" s="39"/>
    </row>
    <row r="3" spans="1:8" x14ac:dyDescent="0.35">
      <c r="A3" s="39" t="s">
        <v>1361</v>
      </c>
      <c r="B3" s="39"/>
      <c r="C3" s="39"/>
      <c r="D3" s="39"/>
      <c r="E3" s="39"/>
      <c r="F3" s="39"/>
      <c r="G3" s="39"/>
      <c r="H3" s="39"/>
    </row>
    <row r="5" spans="1:8" x14ac:dyDescent="0.35">
      <c r="A5" s="18" t="s">
        <v>18</v>
      </c>
      <c r="B5" s="19" t="s">
        <v>126</v>
      </c>
      <c r="C5" s="19" t="s">
        <v>127</v>
      </c>
      <c r="D5" s="19" t="s">
        <v>128</v>
      </c>
      <c r="E5" s="19" t="s">
        <v>129</v>
      </c>
      <c r="F5" s="19" t="s">
        <v>130</v>
      </c>
      <c r="G5" s="19" t="s">
        <v>131</v>
      </c>
      <c r="H5" s="19" t="s">
        <v>132</v>
      </c>
    </row>
    <row r="6" spans="1:8" x14ac:dyDescent="0.35">
      <c r="A6" s="13" t="s">
        <v>1362</v>
      </c>
      <c r="B6" s="17" t="s">
        <v>1363</v>
      </c>
      <c r="C6" s="17" t="s">
        <v>1363</v>
      </c>
      <c r="D6" s="17" t="s">
        <v>1363</v>
      </c>
      <c r="E6" s="17" t="s">
        <v>1363</v>
      </c>
      <c r="F6" s="17" t="s">
        <v>1364</v>
      </c>
      <c r="G6" s="17" t="s">
        <v>1364</v>
      </c>
      <c r="H6" s="17" t="s">
        <v>1364</v>
      </c>
    </row>
    <row r="7" spans="1:8" x14ac:dyDescent="0.35">
      <c r="A7" s="13" t="s">
        <v>1365</v>
      </c>
      <c r="B7" s="17" t="s">
        <v>136</v>
      </c>
      <c r="C7" s="17" t="s">
        <v>135</v>
      </c>
      <c r="D7" s="17" t="s">
        <v>135</v>
      </c>
      <c r="E7" s="17" t="s">
        <v>135</v>
      </c>
      <c r="F7" s="17" t="s">
        <v>136</v>
      </c>
      <c r="G7" s="17" t="s">
        <v>135</v>
      </c>
      <c r="H7" s="17" t="s">
        <v>135</v>
      </c>
    </row>
    <row r="8" spans="1:8" ht="46.5" x14ac:dyDescent="0.35">
      <c r="A8" s="13" t="s">
        <v>1366</v>
      </c>
      <c r="B8" s="17" t="s">
        <v>85</v>
      </c>
      <c r="C8" s="17" t="s">
        <v>1367</v>
      </c>
      <c r="D8" s="17" t="s">
        <v>505</v>
      </c>
      <c r="E8" s="17" t="s">
        <v>505</v>
      </c>
      <c r="F8" s="17" t="s">
        <v>85</v>
      </c>
      <c r="G8" s="17" t="s">
        <v>1368</v>
      </c>
      <c r="H8" s="17" t="s">
        <v>506</v>
      </c>
    </row>
    <row r="9" spans="1:8" x14ac:dyDescent="0.35">
      <c r="A9" s="13" t="s">
        <v>1369</v>
      </c>
      <c r="B9" s="17" t="s">
        <v>85</v>
      </c>
      <c r="C9" s="17" t="s">
        <v>85</v>
      </c>
      <c r="D9" s="17" t="s">
        <v>1370</v>
      </c>
      <c r="E9" s="17" t="s">
        <v>1273</v>
      </c>
      <c r="F9" s="17" t="s">
        <v>85</v>
      </c>
      <c r="G9" s="17" t="s">
        <v>85</v>
      </c>
      <c r="H9" s="17" t="s">
        <v>506</v>
      </c>
    </row>
    <row r="10" spans="1:8" x14ac:dyDescent="0.35">
      <c r="A10" s="18" t="s">
        <v>143</v>
      </c>
      <c r="B10" s="20"/>
      <c r="C10" s="20"/>
      <c r="D10" s="20"/>
      <c r="E10" s="20"/>
      <c r="F10" s="20"/>
      <c r="G10" s="20"/>
      <c r="H10" s="20"/>
    </row>
    <row r="11" spans="1:8" ht="46.5" x14ac:dyDescent="0.35">
      <c r="A11" s="13" t="s">
        <v>1371</v>
      </c>
      <c r="B11" s="17" t="s">
        <v>145</v>
      </c>
      <c r="C11" s="17"/>
      <c r="D11" s="17"/>
      <c r="E11" s="17"/>
      <c r="F11" s="17" t="s">
        <v>145</v>
      </c>
      <c r="G11" s="17"/>
      <c r="H11" s="17"/>
    </row>
    <row r="12" spans="1:8" ht="46.5" x14ac:dyDescent="0.35">
      <c r="A12" s="13" t="s">
        <v>1372</v>
      </c>
      <c r="B12" s="17"/>
      <c r="C12" s="17" t="s">
        <v>145</v>
      </c>
      <c r="D12" s="17" t="s">
        <v>145</v>
      </c>
      <c r="E12" s="17"/>
      <c r="F12" s="17"/>
      <c r="G12" s="17" t="s">
        <v>145</v>
      </c>
      <c r="H12" s="17"/>
    </row>
    <row r="13" spans="1:8" ht="93" x14ac:dyDescent="0.35">
      <c r="A13" s="13" t="s">
        <v>1373</v>
      </c>
      <c r="B13" s="17"/>
      <c r="C13" s="17"/>
      <c r="D13" s="17"/>
      <c r="E13" s="17" t="s">
        <v>145</v>
      </c>
      <c r="F13" s="17"/>
      <c r="G13" s="17"/>
      <c r="H13" s="17"/>
    </row>
    <row r="14" spans="1:8" ht="93" x14ac:dyDescent="0.35">
      <c r="A14" s="13" t="s">
        <v>1374</v>
      </c>
      <c r="B14" s="17"/>
      <c r="C14" s="17"/>
      <c r="D14" s="17"/>
      <c r="E14" s="17"/>
      <c r="F14" s="17"/>
      <c r="G14" s="17"/>
      <c r="H14" s="17" t="s">
        <v>145</v>
      </c>
    </row>
    <row r="15" spans="1:8" x14ac:dyDescent="0.35">
      <c r="A15" s="13" t="s">
        <v>151</v>
      </c>
      <c r="B15" s="17"/>
      <c r="C15" s="17"/>
      <c r="D15" s="17"/>
      <c r="E15" s="17"/>
      <c r="F15" s="17"/>
      <c r="G15" s="17"/>
      <c r="H15" s="17"/>
    </row>
    <row r="17" spans="1:8" x14ac:dyDescent="0.35">
      <c r="A17" s="30" t="s">
        <v>57</v>
      </c>
      <c r="B17" s="30"/>
      <c r="C17" s="30"/>
      <c r="D17" s="30"/>
      <c r="E17" s="30"/>
      <c r="F17" s="30"/>
      <c r="G17" s="30"/>
      <c r="H17" s="30"/>
    </row>
    <row r="19" spans="1:8" x14ac:dyDescent="0.35">
      <c r="A19" s="12" t="s">
        <v>58</v>
      </c>
      <c r="B19" s="28" t="s">
        <v>1375</v>
      </c>
      <c r="C19" s="28"/>
      <c r="D19" s="28"/>
      <c r="E19" s="28"/>
      <c r="F19" s="28"/>
      <c r="G19" s="12" t="s">
        <v>60</v>
      </c>
      <c r="H19" s="14" t="s">
        <v>154</v>
      </c>
    </row>
    <row r="20" spans="1:8" x14ac:dyDescent="0.35">
      <c r="A20" s="12" t="s">
        <v>61</v>
      </c>
      <c r="B20" s="28" t="s">
        <v>389</v>
      </c>
      <c r="C20" s="28"/>
      <c r="D20" s="28"/>
      <c r="E20" s="28"/>
      <c r="F20" s="28"/>
      <c r="G20" s="12" t="s">
        <v>63</v>
      </c>
      <c r="H20" s="14" t="s">
        <v>156</v>
      </c>
    </row>
    <row r="21" spans="1:8" ht="50.25" customHeight="1" x14ac:dyDescent="0.35">
      <c r="A21" s="12" t="s">
        <v>64</v>
      </c>
      <c r="B21" s="28" t="s">
        <v>65</v>
      </c>
      <c r="C21" s="28"/>
      <c r="D21" s="28"/>
      <c r="E21" s="28"/>
      <c r="F21" s="28"/>
      <c r="G21" s="12" t="s">
        <v>66</v>
      </c>
      <c r="H21" s="13" t="s">
        <v>67</v>
      </c>
    </row>
    <row r="22" spans="1:8" x14ac:dyDescent="0.35">
      <c r="A22" s="12" t="s">
        <v>68</v>
      </c>
      <c r="B22" s="28" t="s">
        <v>1376</v>
      </c>
      <c r="C22" s="28"/>
      <c r="D22" s="28"/>
      <c r="E22" s="28"/>
      <c r="F22" s="28"/>
      <c r="G22" s="28"/>
      <c r="H22" s="28"/>
    </row>
    <row r="23" spans="1:8" x14ac:dyDescent="0.35">
      <c r="A23" s="12" t="s">
        <v>70</v>
      </c>
      <c r="B23" s="28" t="s">
        <v>1377</v>
      </c>
      <c r="C23" s="28"/>
      <c r="D23" s="28"/>
      <c r="E23" s="28"/>
      <c r="F23" s="28"/>
      <c r="G23" s="28"/>
      <c r="H23" s="28"/>
    </row>
    <row r="25" spans="1:8" x14ac:dyDescent="0.35">
      <c r="A25" s="29" t="s">
        <v>159</v>
      </c>
      <c r="B25" s="29" t="s">
        <v>72</v>
      </c>
      <c r="C25" s="29" t="s">
        <v>73</v>
      </c>
      <c r="D25" s="29"/>
      <c r="E25" s="29"/>
      <c r="F25" s="29" t="s">
        <v>74</v>
      </c>
      <c r="G25" s="29" t="s">
        <v>75</v>
      </c>
      <c r="H25" s="29" t="s">
        <v>76</v>
      </c>
    </row>
    <row r="26" spans="1:8" x14ac:dyDescent="0.35">
      <c r="A26" s="29"/>
      <c r="B26" s="29"/>
      <c r="C26" s="15" t="s">
        <v>1378</v>
      </c>
      <c r="D26" s="15" t="s">
        <v>81</v>
      </c>
      <c r="E26" s="15" t="s">
        <v>1379</v>
      </c>
      <c r="F26" s="29"/>
      <c r="G26" s="29"/>
      <c r="H26" s="29"/>
    </row>
    <row r="27" spans="1:8" ht="46.5" x14ac:dyDescent="0.35">
      <c r="A27" s="17" t="s">
        <v>162</v>
      </c>
      <c r="B27" s="16" t="s">
        <v>1380</v>
      </c>
      <c r="C27" s="13" t="s">
        <v>1363</v>
      </c>
      <c r="D27" s="13" t="s">
        <v>1381</v>
      </c>
      <c r="E27" s="13" t="s">
        <v>1382</v>
      </c>
      <c r="F27" s="13" t="s">
        <v>1383</v>
      </c>
      <c r="G27" s="13" t="s">
        <v>102</v>
      </c>
      <c r="H27" s="17" t="s">
        <v>5</v>
      </c>
    </row>
    <row r="28" spans="1:8" ht="46.5" x14ac:dyDescent="0.35">
      <c r="A28" s="17" t="s">
        <v>162</v>
      </c>
      <c r="B28" s="16" t="s">
        <v>1384</v>
      </c>
      <c r="C28" s="13" t="s">
        <v>1363</v>
      </c>
      <c r="D28" s="13" t="s">
        <v>93</v>
      </c>
      <c r="E28" s="13" t="s">
        <v>1382</v>
      </c>
      <c r="F28" s="13" t="s">
        <v>1385</v>
      </c>
      <c r="G28" s="13" t="s">
        <v>102</v>
      </c>
      <c r="H28" s="17" t="s">
        <v>5</v>
      </c>
    </row>
    <row r="29" spans="1:8" ht="46.5" x14ac:dyDescent="0.35">
      <c r="A29" s="17" t="s">
        <v>167</v>
      </c>
      <c r="B29" s="16" t="s">
        <v>1386</v>
      </c>
      <c r="C29" s="13" t="s">
        <v>1363</v>
      </c>
      <c r="D29" s="13" t="s">
        <v>88</v>
      </c>
      <c r="E29" s="13" t="s">
        <v>1387</v>
      </c>
      <c r="F29" s="13" t="s">
        <v>1388</v>
      </c>
      <c r="G29" s="13" t="s">
        <v>102</v>
      </c>
      <c r="H29" s="17" t="s">
        <v>5</v>
      </c>
    </row>
    <row r="30" spans="1:8" ht="46.5" x14ac:dyDescent="0.35">
      <c r="A30" s="17" t="s">
        <v>171</v>
      </c>
      <c r="B30" s="16" t="s">
        <v>1389</v>
      </c>
      <c r="C30" s="13" t="s">
        <v>1363</v>
      </c>
      <c r="D30" s="13" t="s">
        <v>88</v>
      </c>
      <c r="E30" s="13" t="s">
        <v>1390</v>
      </c>
      <c r="F30" s="13" t="s">
        <v>1391</v>
      </c>
      <c r="G30" s="13" t="s">
        <v>102</v>
      </c>
      <c r="H30" s="17" t="s">
        <v>5</v>
      </c>
    </row>
    <row r="31" spans="1:8" ht="116.25" x14ac:dyDescent="0.35">
      <c r="A31" s="17" t="s">
        <v>175</v>
      </c>
      <c r="B31" s="16" t="s">
        <v>1392</v>
      </c>
      <c r="C31" s="13" t="s">
        <v>1363</v>
      </c>
      <c r="D31" s="13" t="s">
        <v>88</v>
      </c>
      <c r="E31" s="13" t="s">
        <v>1382</v>
      </c>
      <c r="F31" s="13" t="s">
        <v>1393</v>
      </c>
      <c r="G31" s="13" t="s">
        <v>1393</v>
      </c>
      <c r="H31" s="17" t="s">
        <v>5</v>
      </c>
    </row>
    <row r="32" spans="1:8" ht="46.5" x14ac:dyDescent="0.35">
      <c r="A32" s="17" t="s">
        <v>183</v>
      </c>
      <c r="B32" s="16" t="s">
        <v>1394</v>
      </c>
      <c r="C32" s="13" t="s">
        <v>1364</v>
      </c>
      <c r="D32" s="13" t="s">
        <v>1381</v>
      </c>
      <c r="E32" s="13" t="s">
        <v>1395</v>
      </c>
      <c r="F32" s="13" t="s">
        <v>1396</v>
      </c>
      <c r="G32" s="13" t="s">
        <v>102</v>
      </c>
      <c r="H32" s="17" t="s">
        <v>5</v>
      </c>
    </row>
    <row r="33" spans="1:8" ht="46.5" x14ac:dyDescent="0.35">
      <c r="A33" s="17" t="s">
        <v>188</v>
      </c>
      <c r="B33" s="16" t="s">
        <v>1397</v>
      </c>
      <c r="C33" s="13" t="s">
        <v>1364</v>
      </c>
      <c r="D33" s="13" t="s">
        <v>88</v>
      </c>
      <c r="E33" s="13" t="s">
        <v>1398</v>
      </c>
      <c r="F33" s="13" t="s">
        <v>1399</v>
      </c>
      <c r="G33" s="13" t="s">
        <v>102</v>
      </c>
      <c r="H33" s="17" t="s">
        <v>5</v>
      </c>
    </row>
    <row r="34" spans="1:8" ht="139.5" x14ac:dyDescent="0.35">
      <c r="A34" s="17" t="s">
        <v>193</v>
      </c>
      <c r="B34" s="16" t="s">
        <v>1400</v>
      </c>
      <c r="C34" s="13" t="s">
        <v>1364</v>
      </c>
      <c r="D34" s="13" t="s">
        <v>88</v>
      </c>
      <c r="E34" s="13" t="s">
        <v>1395</v>
      </c>
      <c r="F34" s="13" t="s">
        <v>1401</v>
      </c>
      <c r="G34" s="13" t="s">
        <v>1401</v>
      </c>
      <c r="H34" s="17" t="s">
        <v>5</v>
      </c>
    </row>
  </sheetData>
  <mergeCells count="14">
    <mergeCell ref="B21:F21"/>
    <mergeCell ref="A2:H2"/>
    <mergeCell ref="A3:H3"/>
    <mergeCell ref="A17:H17"/>
    <mergeCell ref="B19:F19"/>
    <mergeCell ref="B20:F20"/>
    <mergeCell ref="B22:H22"/>
    <mergeCell ref="B23:H23"/>
    <mergeCell ref="A25:A26"/>
    <mergeCell ref="B25:B26"/>
    <mergeCell ref="C25:E25"/>
    <mergeCell ref="F25:F26"/>
    <mergeCell ref="G25:G26"/>
    <mergeCell ref="H25:H26"/>
  </mergeCells>
  <conditionalFormatting sqref="H27:H34">
    <cfRule type="cellIs" dxfId="38" priority="1" operator="equal">
      <formula>"Pass"</formula>
    </cfRule>
    <cfRule type="cellIs" dxfId="37" priority="2" operator="equal">
      <formula>"Fail"</formula>
    </cfRule>
    <cfRule type="cellIs" dxfId="36" priority="3" operator="equal">
      <formula>"Block"</formula>
    </cfRule>
  </conditionalFormatting>
  <dataValidations count="1">
    <dataValidation type="list" allowBlank="1" sqref="H27:H34" xr:uid="{20B1E575-5034-4BD5-B1D2-38BFE4D9AB36}">
      <formula1>"Pass,Fail,No run,Block"</formula1>
      <formula2>0</formula2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AAF0-D70E-45F8-A138-60105A467C20}">
  <dimension ref="A1:M29"/>
  <sheetViews>
    <sheetView topLeftCell="A9" workbookViewId="0">
      <selection activeCell="F12" sqref="F12"/>
    </sheetView>
  </sheetViews>
  <sheetFormatPr defaultColWidth="7.625" defaultRowHeight="23.25" x14ac:dyDescent="0.35"/>
  <cols>
    <col min="1" max="1" width="19.25" style="8" customWidth="1"/>
    <col min="2" max="4" width="12.25" style="8" customWidth="1"/>
    <col min="5" max="5" width="40.25" style="8" customWidth="1"/>
    <col min="6" max="6" width="30.75" style="8" customWidth="1"/>
    <col min="7" max="7" width="14.875" style="8" customWidth="1"/>
    <col min="8" max="9" width="7.625" style="8"/>
    <col min="10" max="10" width="8.75" style="8" customWidth="1"/>
    <col min="11" max="13" width="13.125" style="8" customWidth="1"/>
    <col min="14" max="16384" width="7.625" style="8"/>
  </cols>
  <sheetData>
    <row r="1" spans="1:13" ht="46.5" x14ac:dyDescent="0.35">
      <c r="A1" s="30" t="s">
        <v>57</v>
      </c>
      <c r="B1" s="30"/>
      <c r="C1" s="30"/>
      <c r="D1" s="30"/>
      <c r="E1" s="30"/>
      <c r="F1" s="30"/>
      <c r="G1" s="30"/>
      <c r="J1" s="13"/>
      <c r="K1" s="15" t="s">
        <v>1422</v>
      </c>
      <c r="L1" s="15" t="s">
        <v>1423</v>
      </c>
      <c r="M1" s="15" t="s">
        <v>1424</v>
      </c>
    </row>
    <row r="2" spans="1:13" x14ac:dyDescent="0.35">
      <c r="J2" s="17" t="s">
        <v>223</v>
      </c>
      <c r="K2" s="17" t="s">
        <v>307</v>
      </c>
      <c r="L2" s="17" t="s">
        <v>307</v>
      </c>
      <c r="M2" s="17" t="s">
        <v>307</v>
      </c>
    </row>
    <row r="3" spans="1:13" x14ac:dyDescent="0.35">
      <c r="A3" s="12" t="s">
        <v>58</v>
      </c>
      <c r="B3" s="28" t="s">
        <v>1425</v>
      </c>
      <c r="C3" s="28"/>
      <c r="D3" s="28"/>
      <c r="E3" s="28"/>
      <c r="F3" s="12" t="s">
        <v>60</v>
      </c>
      <c r="G3" s="14" t="s">
        <v>154</v>
      </c>
      <c r="J3" s="17" t="s">
        <v>227</v>
      </c>
      <c r="K3" s="17" t="s">
        <v>86</v>
      </c>
      <c r="L3" s="17" t="s">
        <v>86</v>
      </c>
      <c r="M3" s="17" t="s">
        <v>86</v>
      </c>
    </row>
    <row r="4" spans="1:13" x14ac:dyDescent="0.35">
      <c r="A4" s="12" t="s">
        <v>61</v>
      </c>
      <c r="B4" s="28" t="s">
        <v>230</v>
      </c>
      <c r="C4" s="28"/>
      <c r="D4" s="28"/>
      <c r="E4" s="28"/>
      <c r="F4" s="12" t="s">
        <v>63</v>
      </c>
      <c r="G4" s="14" t="s">
        <v>156</v>
      </c>
      <c r="J4" s="17" t="s">
        <v>231</v>
      </c>
      <c r="K4" s="17" t="s">
        <v>712</v>
      </c>
      <c r="L4" s="17" t="s">
        <v>712</v>
      </c>
      <c r="M4" s="17" t="s">
        <v>712</v>
      </c>
    </row>
    <row r="5" spans="1:13" ht="46.5" x14ac:dyDescent="0.35">
      <c r="A5" s="12" t="s">
        <v>64</v>
      </c>
      <c r="B5" s="28" t="s">
        <v>65</v>
      </c>
      <c r="C5" s="28"/>
      <c r="D5" s="28"/>
      <c r="E5" s="28"/>
      <c r="F5" s="12" t="s">
        <v>66</v>
      </c>
      <c r="G5" s="13" t="s">
        <v>67</v>
      </c>
      <c r="J5" s="17" t="s">
        <v>233</v>
      </c>
      <c r="K5" s="17" t="s">
        <v>107</v>
      </c>
      <c r="L5" s="17" t="s">
        <v>107</v>
      </c>
      <c r="M5" s="17" t="s">
        <v>107</v>
      </c>
    </row>
    <row r="6" spans="1:13" ht="46.5" x14ac:dyDescent="0.35">
      <c r="A6" s="12" t="s">
        <v>68</v>
      </c>
      <c r="B6" s="28" t="s">
        <v>1426</v>
      </c>
      <c r="C6" s="28"/>
      <c r="D6" s="28"/>
      <c r="E6" s="28"/>
      <c r="F6" s="28"/>
      <c r="G6" s="28"/>
      <c r="J6" s="17" t="s">
        <v>237</v>
      </c>
      <c r="K6" s="17" t="s">
        <v>1427</v>
      </c>
      <c r="L6" s="17" t="s">
        <v>1427</v>
      </c>
      <c r="M6" s="17" t="s">
        <v>1427</v>
      </c>
    </row>
    <row r="7" spans="1:13" ht="46.5" x14ac:dyDescent="0.35">
      <c r="A7" s="12" t="s">
        <v>70</v>
      </c>
      <c r="B7" s="28" t="s">
        <v>1428</v>
      </c>
      <c r="C7" s="28"/>
      <c r="D7" s="28"/>
      <c r="E7" s="28"/>
      <c r="F7" s="28"/>
      <c r="G7" s="28"/>
      <c r="J7" s="17" t="s">
        <v>243</v>
      </c>
      <c r="K7" s="17" t="s">
        <v>124</v>
      </c>
      <c r="L7" s="17" t="s">
        <v>124</v>
      </c>
      <c r="M7" s="17" t="s">
        <v>124</v>
      </c>
    </row>
    <row r="9" spans="1:13" x14ac:dyDescent="0.35">
      <c r="A9" s="29" t="s">
        <v>72</v>
      </c>
      <c r="B9" s="29" t="s">
        <v>73</v>
      </c>
      <c r="C9" s="29"/>
      <c r="D9" s="29"/>
      <c r="E9" s="29" t="s">
        <v>74</v>
      </c>
      <c r="F9" s="29" t="s">
        <v>75</v>
      </c>
      <c r="G9" s="29" t="s">
        <v>76</v>
      </c>
    </row>
    <row r="10" spans="1:13" ht="46.5" x14ac:dyDescent="0.35">
      <c r="A10" s="29"/>
      <c r="B10" s="15" t="s">
        <v>1422</v>
      </c>
      <c r="C10" s="15" t="s">
        <v>1423</v>
      </c>
      <c r="D10" s="15" t="s">
        <v>1424</v>
      </c>
      <c r="E10" s="29"/>
      <c r="F10" s="29"/>
      <c r="G10" s="29"/>
    </row>
    <row r="11" spans="1:13" x14ac:dyDescent="0.35">
      <c r="A11" s="16" t="s">
        <v>1429</v>
      </c>
      <c r="B11" s="13" t="s">
        <v>107</v>
      </c>
      <c r="C11" s="13" t="s">
        <v>107</v>
      </c>
      <c r="D11" s="13" t="s">
        <v>107</v>
      </c>
      <c r="E11" s="13" t="s">
        <v>1430</v>
      </c>
      <c r="F11" s="13" t="s">
        <v>1492</v>
      </c>
      <c r="G11" s="17" t="s">
        <v>5</v>
      </c>
    </row>
    <row r="12" spans="1:13" ht="46.5" x14ac:dyDescent="0.35">
      <c r="A12" s="16" t="s">
        <v>1431</v>
      </c>
      <c r="B12" s="13" t="s">
        <v>307</v>
      </c>
      <c r="C12" s="13" t="s">
        <v>107</v>
      </c>
      <c r="D12" s="13" t="s">
        <v>107</v>
      </c>
      <c r="E12" s="13" t="s">
        <v>1432</v>
      </c>
      <c r="F12" s="13" t="s">
        <v>102</v>
      </c>
      <c r="G12" s="17" t="s">
        <v>5</v>
      </c>
    </row>
    <row r="13" spans="1:13" x14ac:dyDescent="0.35">
      <c r="A13" s="16" t="s">
        <v>1433</v>
      </c>
      <c r="B13" s="13" t="s">
        <v>86</v>
      </c>
      <c r="C13" s="13" t="s">
        <v>107</v>
      </c>
      <c r="D13" s="13" t="s">
        <v>107</v>
      </c>
      <c r="E13" s="13" t="s">
        <v>1434</v>
      </c>
      <c r="F13" s="13" t="s">
        <v>1492</v>
      </c>
      <c r="G13" s="17" t="s">
        <v>5</v>
      </c>
    </row>
    <row r="14" spans="1:13" x14ac:dyDescent="0.35">
      <c r="A14" s="16" t="s">
        <v>1435</v>
      </c>
      <c r="B14" s="13" t="s">
        <v>712</v>
      </c>
      <c r="C14" s="13" t="s">
        <v>107</v>
      </c>
      <c r="D14" s="13" t="s">
        <v>107</v>
      </c>
      <c r="E14" s="13" t="s">
        <v>1434</v>
      </c>
      <c r="F14" s="13" t="s">
        <v>1492</v>
      </c>
      <c r="G14" s="17" t="s">
        <v>5</v>
      </c>
    </row>
    <row r="15" spans="1:13" x14ac:dyDescent="0.35">
      <c r="A15" s="16" t="s">
        <v>1436</v>
      </c>
      <c r="B15" s="13" t="s">
        <v>1427</v>
      </c>
      <c r="C15" s="13" t="s">
        <v>107</v>
      </c>
      <c r="D15" s="13" t="s">
        <v>107</v>
      </c>
      <c r="E15" s="13" t="s">
        <v>1434</v>
      </c>
      <c r="F15" s="13" t="s">
        <v>1492</v>
      </c>
      <c r="G15" s="17" t="s">
        <v>5</v>
      </c>
    </row>
    <row r="16" spans="1:13" x14ac:dyDescent="0.35">
      <c r="A16" s="16" t="s">
        <v>1437</v>
      </c>
      <c r="B16" s="13" t="s">
        <v>88</v>
      </c>
      <c r="C16" s="13" t="s">
        <v>107</v>
      </c>
      <c r="D16" s="13" t="s">
        <v>107</v>
      </c>
      <c r="E16" s="13" t="s">
        <v>1434</v>
      </c>
      <c r="F16" s="13" t="s">
        <v>1492</v>
      </c>
      <c r="G16" s="17" t="s">
        <v>5</v>
      </c>
    </row>
    <row r="17" spans="1:7" ht="46.5" x14ac:dyDescent="0.35">
      <c r="A17" s="16" t="s">
        <v>1438</v>
      </c>
      <c r="B17" s="13" t="s">
        <v>124</v>
      </c>
      <c r="C17" s="13" t="s">
        <v>107</v>
      </c>
      <c r="D17" s="13" t="s">
        <v>107</v>
      </c>
      <c r="E17" s="13" t="s">
        <v>1432</v>
      </c>
      <c r="F17" s="13" t="s">
        <v>102</v>
      </c>
      <c r="G17" s="17" t="s">
        <v>5</v>
      </c>
    </row>
    <row r="18" spans="1:7" ht="46.5" x14ac:dyDescent="0.35">
      <c r="A18" s="16" t="s">
        <v>1439</v>
      </c>
      <c r="B18" s="13" t="s">
        <v>107</v>
      </c>
      <c r="C18" s="13" t="s">
        <v>307</v>
      </c>
      <c r="D18" s="13" t="s">
        <v>107</v>
      </c>
      <c r="E18" s="13" t="s">
        <v>1440</v>
      </c>
      <c r="F18" s="13" t="s">
        <v>102</v>
      </c>
      <c r="G18" s="17" t="s">
        <v>5</v>
      </c>
    </row>
    <row r="19" spans="1:7" x14ac:dyDescent="0.35">
      <c r="A19" s="16" t="s">
        <v>1441</v>
      </c>
      <c r="B19" s="13" t="s">
        <v>107</v>
      </c>
      <c r="C19" s="13" t="s">
        <v>86</v>
      </c>
      <c r="D19" s="13" t="s">
        <v>107</v>
      </c>
      <c r="E19" s="13" t="s">
        <v>1434</v>
      </c>
      <c r="F19" s="13" t="s">
        <v>1492</v>
      </c>
      <c r="G19" s="17" t="s">
        <v>5</v>
      </c>
    </row>
    <row r="20" spans="1:7" x14ac:dyDescent="0.35">
      <c r="A20" s="16" t="s">
        <v>1442</v>
      </c>
      <c r="B20" s="13" t="s">
        <v>107</v>
      </c>
      <c r="C20" s="13" t="s">
        <v>712</v>
      </c>
      <c r="D20" s="13" t="s">
        <v>107</v>
      </c>
      <c r="E20" s="13" t="s">
        <v>1434</v>
      </c>
      <c r="F20" s="13" t="s">
        <v>1492</v>
      </c>
      <c r="G20" s="17" t="s">
        <v>5</v>
      </c>
    </row>
    <row r="21" spans="1:7" x14ac:dyDescent="0.35">
      <c r="A21" s="16" t="s">
        <v>1443</v>
      </c>
      <c r="B21" s="13" t="s">
        <v>107</v>
      </c>
      <c r="C21" s="13" t="s">
        <v>1427</v>
      </c>
      <c r="D21" s="13" t="s">
        <v>107</v>
      </c>
      <c r="E21" s="13" t="s">
        <v>1434</v>
      </c>
      <c r="F21" s="13" t="s">
        <v>1492</v>
      </c>
      <c r="G21" s="17" t="s">
        <v>5</v>
      </c>
    </row>
    <row r="22" spans="1:7" x14ac:dyDescent="0.35">
      <c r="A22" s="16" t="s">
        <v>1444</v>
      </c>
      <c r="B22" s="13" t="s">
        <v>107</v>
      </c>
      <c r="C22" s="13" t="s">
        <v>88</v>
      </c>
      <c r="D22" s="13" t="s">
        <v>107</v>
      </c>
      <c r="E22" s="13" t="s">
        <v>1434</v>
      </c>
      <c r="F22" s="13" t="s">
        <v>1492</v>
      </c>
      <c r="G22" s="17" t="s">
        <v>5</v>
      </c>
    </row>
    <row r="23" spans="1:7" ht="46.5" x14ac:dyDescent="0.35">
      <c r="A23" s="16" t="s">
        <v>1445</v>
      </c>
      <c r="B23" s="13" t="s">
        <v>107</v>
      </c>
      <c r="C23" s="13" t="s">
        <v>124</v>
      </c>
      <c r="D23" s="13" t="s">
        <v>107</v>
      </c>
      <c r="E23" s="13" t="s">
        <v>1440</v>
      </c>
      <c r="F23" s="13" t="s">
        <v>102</v>
      </c>
      <c r="G23" s="17" t="s">
        <v>5</v>
      </c>
    </row>
    <row r="24" spans="1:7" ht="46.5" x14ac:dyDescent="0.35">
      <c r="A24" s="16" t="s">
        <v>1446</v>
      </c>
      <c r="B24" s="13" t="s">
        <v>107</v>
      </c>
      <c r="C24" s="13" t="s">
        <v>107</v>
      </c>
      <c r="D24" s="13" t="s">
        <v>307</v>
      </c>
      <c r="E24" s="13" t="s">
        <v>1447</v>
      </c>
      <c r="F24" s="13" t="s">
        <v>102</v>
      </c>
      <c r="G24" s="17" t="s">
        <v>5</v>
      </c>
    </row>
    <row r="25" spans="1:7" x14ac:dyDescent="0.35">
      <c r="A25" s="16" t="s">
        <v>1448</v>
      </c>
      <c r="B25" s="13" t="s">
        <v>107</v>
      </c>
      <c r="C25" s="13" t="s">
        <v>107</v>
      </c>
      <c r="D25" s="13" t="s">
        <v>86</v>
      </c>
      <c r="E25" s="13" t="s">
        <v>1434</v>
      </c>
      <c r="F25" s="13" t="s">
        <v>1492</v>
      </c>
      <c r="G25" s="17" t="s">
        <v>5</v>
      </c>
    </row>
    <row r="26" spans="1:7" x14ac:dyDescent="0.35">
      <c r="A26" s="16" t="s">
        <v>1449</v>
      </c>
      <c r="B26" s="13" t="s">
        <v>107</v>
      </c>
      <c r="C26" s="13" t="s">
        <v>107</v>
      </c>
      <c r="D26" s="13" t="s">
        <v>712</v>
      </c>
      <c r="E26" s="13" t="s">
        <v>1434</v>
      </c>
      <c r="F26" s="13" t="s">
        <v>1492</v>
      </c>
      <c r="G26" s="17" t="s">
        <v>5</v>
      </c>
    </row>
    <row r="27" spans="1:7" x14ac:dyDescent="0.35">
      <c r="A27" s="16" t="s">
        <v>1450</v>
      </c>
      <c r="B27" s="13" t="s">
        <v>107</v>
      </c>
      <c r="C27" s="13" t="s">
        <v>107</v>
      </c>
      <c r="D27" s="13" t="s">
        <v>1427</v>
      </c>
      <c r="E27" s="13" t="s">
        <v>1434</v>
      </c>
      <c r="F27" s="13" t="s">
        <v>1492</v>
      </c>
      <c r="G27" s="17" t="s">
        <v>5</v>
      </c>
    </row>
    <row r="28" spans="1:7" x14ac:dyDescent="0.35">
      <c r="A28" s="16" t="s">
        <v>1451</v>
      </c>
      <c r="B28" s="13" t="s">
        <v>107</v>
      </c>
      <c r="C28" s="13" t="s">
        <v>107</v>
      </c>
      <c r="D28" s="13" t="s">
        <v>88</v>
      </c>
      <c r="E28" s="13" t="s">
        <v>1434</v>
      </c>
      <c r="F28" s="13" t="s">
        <v>1492</v>
      </c>
      <c r="G28" s="17" t="s">
        <v>5</v>
      </c>
    </row>
    <row r="29" spans="1:7" ht="46.5" x14ac:dyDescent="0.35">
      <c r="A29" s="16" t="s">
        <v>1452</v>
      </c>
      <c r="B29" s="13" t="s">
        <v>107</v>
      </c>
      <c r="C29" s="13" t="s">
        <v>107</v>
      </c>
      <c r="D29" s="13" t="s">
        <v>124</v>
      </c>
      <c r="E29" s="13" t="s">
        <v>1447</v>
      </c>
      <c r="F29" s="13" t="s">
        <v>102</v>
      </c>
      <c r="G29" s="17" t="s">
        <v>5</v>
      </c>
    </row>
  </sheetData>
  <mergeCells count="11">
    <mergeCell ref="A1:G1"/>
    <mergeCell ref="B3:E3"/>
    <mergeCell ref="B4:E4"/>
    <mergeCell ref="B5:E5"/>
    <mergeCell ref="B6:G6"/>
    <mergeCell ref="B7:G7"/>
    <mergeCell ref="A9:A10"/>
    <mergeCell ref="B9:D9"/>
    <mergeCell ref="E9:E10"/>
    <mergeCell ref="F9:F10"/>
    <mergeCell ref="G9:G10"/>
  </mergeCells>
  <conditionalFormatting sqref="G11:G29">
    <cfRule type="cellIs" dxfId="35" priority="1" operator="equal">
      <formula>"Pass"</formula>
    </cfRule>
    <cfRule type="cellIs" dxfId="34" priority="2" operator="equal">
      <formula>"Fail"</formula>
    </cfRule>
    <cfRule type="cellIs" dxfId="33" priority="3" operator="equal">
      <formula>"Block"</formula>
    </cfRule>
  </conditionalFormatting>
  <dataValidations count="1">
    <dataValidation type="list" allowBlank="1" sqref="G11:G29" xr:uid="{FADC6F40-655C-429E-B827-530535B6F86D}">
      <formula1>"Pass,Fail,No run,Block"</formula1>
      <formula2>0</formula2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8A2E-1BE9-43B9-9B16-3CE4E06A3A66}">
  <dimension ref="A1:I28"/>
  <sheetViews>
    <sheetView topLeftCell="A9" workbookViewId="0">
      <selection activeCell="B14" sqref="B14:D14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40.25" style="8" customWidth="1"/>
    <col min="5" max="5" width="33.25" style="8" customWidth="1"/>
    <col min="6" max="6" width="14.875" style="8" customWidth="1"/>
    <col min="7" max="8" width="12.25" style="8" customWidth="1"/>
    <col min="9" max="9" width="15.87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1453</v>
      </c>
      <c r="C4" s="31"/>
      <c r="E4" s="11" t="s">
        <v>21</v>
      </c>
      <c r="F4" s="31" t="s">
        <v>869</v>
      </c>
      <c r="G4" s="31"/>
      <c r="H4" s="31"/>
      <c r="I4" s="31"/>
    </row>
    <row r="5" spans="1:9" ht="24" thickBot="1" x14ac:dyDescent="0.4">
      <c r="A5" s="11" t="s">
        <v>23</v>
      </c>
      <c r="B5" s="31" t="s">
        <v>1454</v>
      </c>
      <c r="C5" s="31"/>
      <c r="E5" s="11" t="s">
        <v>25</v>
      </c>
      <c r="F5" s="31" t="s">
        <v>1455</v>
      </c>
      <c r="G5" s="31"/>
      <c r="H5" s="31"/>
      <c r="I5" s="31"/>
    </row>
    <row r="6" spans="1:9" ht="24" thickBot="1" x14ac:dyDescent="0.4">
      <c r="A6" s="11" t="s">
        <v>27</v>
      </c>
      <c r="B6" s="31" t="s">
        <v>1456</v>
      </c>
      <c r="C6" s="31"/>
      <c r="E6" s="11" t="s">
        <v>29</v>
      </c>
      <c r="F6" s="31" t="s">
        <v>1457</v>
      </c>
      <c r="G6" s="31"/>
      <c r="H6" s="31"/>
      <c r="I6" s="31"/>
    </row>
    <row r="7" spans="1:9" ht="24" thickBot="1" x14ac:dyDescent="0.4">
      <c r="A7" s="11" t="s">
        <v>31</v>
      </c>
      <c r="B7" s="31" t="s">
        <v>1458</v>
      </c>
      <c r="C7" s="31"/>
      <c r="E7" s="11" t="s">
        <v>33</v>
      </c>
      <c r="F7" s="31" t="s">
        <v>1459</v>
      </c>
      <c r="G7" s="31"/>
      <c r="H7" s="31"/>
      <c r="I7" s="31"/>
    </row>
    <row r="8" spans="1:9" ht="24" thickBot="1" x14ac:dyDescent="0.4">
      <c r="A8" s="11" t="s">
        <v>35</v>
      </c>
      <c r="B8" s="31" t="s">
        <v>1460</v>
      </c>
      <c r="C8" s="31"/>
      <c r="E8" s="11" t="s">
        <v>37</v>
      </c>
      <c r="F8" s="31" t="s">
        <v>1461</v>
      </c>
      <c r="G8" s="31"/>
      <c r="H8" s="31"/>
      <c r="I8" s="31"/>
    </row>
    <row r="10" spans="1:9" x14ac:dyDescent="0.35">
      <c r="A10" s="30" t="s">
        <v>57</v>
      </c>
      <c r="B10" s="30"/>
      <c r="C10" s="30"/>
      <c r="D10" s="30"/>
      <c r="E10" s="30"/>
      <c r="F10" s="30"/>
      <c r="G10" s="30"/>
      <c r="H10" s="30"/>
      <c r="I10" s="30"/>
    </row>
    <row r="12" spans="1:9" x14ac:dyDescent="0.35">
      <c r="A12" s="12" t="s">
        <v>58</v>
      </c>
      <c r="B12" s="28" t="s">
        <v>1462</v>
      </c>
      <c r="C12" s="28"/>
      <c r="D12" s="28"/>
      <c r="E12" s="21"/>
      <c r="F12" s="21"/>
      <c r="G12" s="21"/>
      <c r="H12" s="12" t="s">
        <v>60</v>
      </c>
      <c r="I12" s="14" t="s">
        <v>154</v>
      </c>
    </row>
    <row r="13" spans="1:9" x14ac:dyDescent="0.35">
      <c r="A13" s="12" t="s">
        <v>61</v>
      </c>
      <c r="B13" s="28" t="s">
        <v>62</v>
      </c>
      <c r="C13" s="28"/>
      <c r="D13" s="28"/>
      <c r="E13" s="21"/>
      <c r="F13" s="21"/>
      <c r="G13" s="21"/>
      <c r="H13" s="12" t="s">
        <v>63</v>
      </c>
      <c r="I13" s="14" t="s">
        <v>156</v>
      </c>
    </row>
    <row r="14" spans="1:9" ht="46.5" x14ac:dyDescent="0.35">
      <c r="A14" s="12" t="s">
        <v>64</v>
      </c>
      <c r="B14" s="28" t="s">
        <v>65</v>
      </c>
      <c r="C14" s="28"/>
      <c r="D14" s="28"/>
      <c r="E14" s="21"/>
      <c r="F14" s="21"/>
      <c r="G14" s="21"/>
      <c r="H14" s="12" t="s">
        <v>66</v>
      </c>
      <c r="I14" s="13" t="s">
        <v>67</v>
      </c>
    </row>
    <row r="15" spans="1:9" ht="46.5" x14ac:dyDescent="0.35">
      <c r="A15" s="12" t="s">
        <v>68</v>
      </c>
      <c r="B15" s="28" t="s">
        <v>1463</v>
      </c>
      <c r="C15" s="28"/>
      <c r="D15" s="28"/>
      <c r="E15" s="28"/>
      <c r="F15" s="28"/>
      <c r="G15" s="28"/>
      <c r="H15" s="28"/>
      <c r="I15" s="28"/>
    </row>
    <row r="16" spans="1:9" ht="46.5" x14ac:dyDescent="0.35">
      <c r="A16" s="12" t="s">
        <v>70</v>
      </c>
      <c r="B16" s="28" t="s">
        <v>1464</v>
      </c>
      <c r="C16" s="28"/>
      <c r="D16" s="28"/>
      <c r="E16" s="28"/>
      <c r="F16" s="28"/>
      <c r="G16" s="28"/>
      <c r="H16" s="28"/>
      <c r="I16" s="28"/>
    </row>
    <row r="18" spans="1:6" x14ac:dyDescent="0.35">
      <c r="A18" s="29" t="s">
        <v>72</v>
      </c>
      <c r="B18" s="29" t="s">
        <v>73</v>
      </c>
      <c r="C18" s="29"/>
      <c r="D18" s="29" t="s">
        <v>74</v>
      </c>
      <c r="E18" s="29" t="s">
        <v>75</v>
      </c>
      <c r="F18" s="29" t="s">
        <v>76</v>
      </c>
    </row>
    <row r="19" spans="1:6" x14ac:dyDescent="0.35">
      <c r="A19" s="29"/>
      <c r="B19" s="15" t="s">
        <v>1465</v>
      </c>
      <c r="C19" s="15" t="s">
        <v>1466</v>
      </c>
      <c r="D19" s="29"/>
      <c r="E19" s="29"/>
      <c r="F19" s="29"/>
    </row>
    <row r="20" spans="1:6" x14ac:dyDescent="0.35">
      <c r="A20" s="16" t="s">
        <v>1467</v>
      </c>
      <c r="B20" s="13" t="s">
        <v>1468</v>
      </c>
      <c r="C20" s="13" t="s">
        <v>1469</v>
      </c>
      <c r="D20" s="13" t="s">
        <v>1470</v>
      </c>
      <c r="E20" s="13" t="s">
        <v>1493</v>
      </c>
      <c r="F20" s="17" t="s">
        <v>5</v>
      </c>
    </row>
    <row r="21" spans="1:6" x14ac:dyDescent="0.35">
      <c r="A21" s="16" t="s">
        <v>1471</v>
      </c>
      <c r="B21" s="13" t="s">
        <v>1468</v>
      </c>
      <c r="C21" s="13" t="s">
        <v>1472</v>
      </c>
      <c r="D21" s="13" t="s">
        <v>1473</v>
      </c>
      <c r="E21" s="13" t="s">
        <v>1494</v>
      </c>
      <c r="F21" s="17" t="s">
        <v>5</v>
      </c>
    </row>
    <row r="22" spans="1:6" x14ac:dyDescent="0.35">
      <c r="A22" s="16" t="s">
        <v>1474</v>
      </c>
      <c r="B22" s="13" t="s">
        <v>1468</v>
      </c>
      <c r="C22" s="13" t="s">
        <v>1030</v>
      </c>
      <c r="D22" s="13" t="s">
        <v>1475</v>
      </c>
      <c r="E22" s="13" t="s">
        <v>1495</v>
      </c>
      <c r="F22" s="17" t="s">
        <v>5</v>
      </c>
    </row>
    <row r="23" spans="1:6" ht="46.5" x14ac:dyDescent="0.35">
      <c r="A23" s="16" t="s">
        <v>1476</v>
      </c>
      <c r="B23" s="13" t="s">
        <v>1468</v>
      </c>
      <c r="C23" s="13" t="s">
        <v>1477</v>
      </c>
      <c r="D23" s="13" t="s">
        <v>1478</v>
      </c>
      <c r="E23" s="13" t="s">
        <v>1496</v>
      </c>
      <c r="F23" s="17" t="s">
        <v>5</v>
      </c>
    </row>
    <row r="24" spans="1:6" ht="46.5" x14ac:dyDescent="0.35">
      <c r="A24" s="16" t="s">
        <v>1479</v>
      </c>
      <c r="B24" s="13" t="s">
        <v>1480</v>
      </c>
      <c r="C24" s="13" t="s">
        <v>85</v>
      </c>
      <c r="D24" s="13" t="s">
        <v>1481</v>
      </c>
      <c r="E24" s="13" t="s">
        <v>1493</v>
      </c>
      <c r="F24" s="17" t="s">
        <v>5</v>
      </c>
    </row>
    <row r="25" spans="1:6" x14ac:dyDescent="0.35">
      <c r="A25" s="16" t="s">
        <v>1482</v>
      </c>
      <c r="B25" s="13" t="s">
        <v>104</v>
      </c>
      <c r="C25" s="13" t="s">
        <v>85</v>
      </c>
      <c r="D25" s="13" t="s">
        <v>778</v>
      </c>
      <c r="E25" s="13" t="s">
        <v>99</v>
      </c>
      <c r="F25" s="17" t="s">
        <v>5</v>
      </c>
    </row>
    <row r="26" spans="1:6" ht="46.5" x14ac:dyDescent="0.35">
      <c r="A26" s="16" t="s">
        <v>1483</v>
      </c>
      <c r="B26" s="13" t="s">
        <v>1484</v>
      </c>
      <c r="C26" s="13" t="s">
        <v>85</v>
      </c>
      <c r="D26" s="13" t="s">
        <v>1485</v>
      </c>
      <c r="E26" s="13" t="s">
        <v>102</v>
      </c>
      <c r="F26" s="17" t="s">
        <v>5</v>
      </c>
    </row>
    <row r="27" spans="1:6" ht="46.5" x14ac:dyDescent="0.35">
      <c r="A27" s="16" t="s">
        <v>1486</v>
      </c>
      <c r="B27" s="13" t="s">
        <v>1487</v>
      </c>
      <c r="C27" s="13" t="s">
        <v>85</v>
      </c>
      <c r="D27" s="13" t="s">
        <v>1488</v>
      </c>
      <c r="E27" s="13" t="s">
        <v>201</v>
      </c>
      <c r="F27" s="17" t="s">
        <v>5</v>
      </c>
    </row>
    <row r="28" spans="1:6" x14ac:dyDescent="0.35">
      <c r="A28" s="16" t="s">
        <v>1489</v>
      </c>
      <c r="B28" s="13" t="s">
        <v>1468</v>
      </c>
      <c r="C28" s="13" t="s">
        <v>1490</v>
      </c>
      <c r="D28" s="13" t="s">
        <v>1491</v>
      </c>
      <c r="E28" s="13" t="s">
        <v>102</v>
      </c>
      <c r="F28" s="17" t="s">
        <v>5</v>
      </c>
    </row>
  </sheetData>
  <mergeCells count="25">
    <mergeCell ref="A1:I1"/>
    <mergeCell ref="E2:F2"/>
    <mergeCell ref="B3:C3"/>
    <mergeCell ref="F3:I3"/>
    <mergeCell ref="B4:C4"/>
    <mergeCell ref="F4:I4"/>
    <mergeCell ref="B14:D14"/>
    <mergeCell ref="B5:C5"/>
    <mergeCell ref="F5:I5"/>
    <mergeCell ref="B6:C6"/>
    <mergeCell ref="F6:I6"/>
    <mergeCell ref="B7:C7"/>
    <mergeCell ref="F7:I7"/>
    <mergeCell ref="B8:C8"/>
    <mergeCell ref="F8:I8"/>
    <mergeCell ref="A10:I10"/>
    <mergeCell ref="B12:D12"/>
    <mergeCell ref="B13:D13"/>
    <mergeCell ref="B15:I15"/>
    <mergeCell ref="B16:I16"/>
    <mergeCell ref="A18:A19"/>
    <mergeCell ref="B18:C18"/>
    <mergeCell ref="D18:D19"/>
    <mergeCell ref="E18:E19"/>
    <mergeCell ref="F18:F19"/>
  </mergeCells>
  <conditionalFormatting sqref="F20:F28">
    <cfRule type="cellIs" dxfId="32" priority="1" operator="equal">
      <formula>"Pass"</formula>
    </cfRule>
    <cfRule type="cellIs" dxfId="31" priority="2" operator="equal">
      <formula>"Fail"</formula>
    </cfRule>
    <cfRule type="cellIs" dxfId="30" priority="3" operator="equal">
      <formula>"Block"</formula>
    </cfRule>
  </conditionalFormatting>
  <dataValidations count="1">
    <dataValidation type="list" allowBlank="1" sqref="F20:F28" xr:uid="{06F4C052-ED6E-47F6-BD02-3591D8C98550}">
      <formula1>"Pass,Fail,No run,Block"</formula1>
      <formula2>0</formula2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7E95B-1A13-48EA-816A-48B5AC2B874B}">
  <dimension ref="A1:H27"/>
  <sheetViews>
    <sheetView topLeftCell="A16" workbookViewId="0">
      <selection activeCell="G24" sqref="G24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5" width="17.5" style="8" customWidth="1"/>
    <col min="6" max="6" width="38.5" style="8" customWidth="1"/>
    <col min="7" max="7" width="30.625" style="8" customWidth="1"/>
    <col min="8" max="8" width="14.875" style="8" customWidth="1"/>
    <col min="9" max="16384" width="7.625" style="8"/>
  </cols>
  <sheetData>
    <row r="1" spans="1:8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</row>
    <row r="2" spans="1:8" x14ac:dyDescent="0.35">
      <c r="A2" s="13" t="s">
        <v>1503</v>
      </c>
      <c r="B2" s="17" t="s">
        <v>136</v>
      </c>
      <c r="C2" s="17" t="s">
        <v>135</v>
      </c>
      <c r="D2" s="17" t="s">
        <v>135</v>
      </c>
      <c r="E2" s="17" t="s">
        <v>135</v>
      </c>
    </row>
    <row r="3" spans="1:8" x14ac:dyDescent="0.35">
      <c r="A3" s="13" t="s">
        <v>1504</v>
      </c>
      <c r="B3" s="17" t="s">
        <v>85</v>
      </c>
      <c r="C3" s="17" t="s">
        <v>136</v>
      </c>
      <c r="D3" s="17" t="s">
        <v>135</v>
      </c>
      <c r="E3" s="17" t="s">
        <v>135</v>
      </c>
    </row>
    <row r="4" spans="1:8" x14ac:dyDescent="0.35">
      <c r="A4" s="13" t="s">
        <v>1505</v>
      </c>
      <c r="B4" s="17" t="s">
        <v>85</v>
      </c>
      <c r="C4" s="17" t="s">
        <v>85</v>
      </c>
      <c r="D4" s="17" t="s">
        <v>136</v>
      </c>
      <c r="E4" s="17" t="s">
        <v>135</v>
      </c>
    </row>
    <row r="5" spans="1:8" x14ac:dyDescent="0.35">
      <c r="A5" s="18" t="s">
        <v>143</v>
      </c>
      <c r="B5" s="20"/>
      <c r="C5" s="20"/>
      <c r="D5" s="20"/>
      <c r="E5" s="20"/>
    </row>
    <row r="6" spans="1:8" ht="46.5" x14ac:dyDescent="0.35">
      <c r="A6" s="13" t="s">
        <v>1506</v>
      </c>
      <c r="B6" s="17" t="s">
        <v>145</v>
      </c>
      <c r="C6" s="17"/>
      <c r="D6" s="17" t="s">
        <v>145</v>
      </c>
      <c r="E6" s="17"/>
    </row>
    <row r="7" spans="1:8" ht="46.5" x14ac:dyDescent="0.35">
      <c r="A7" s="13" t="s">
        <v>1507</v>
      </c>
      <c r="B7" s="17"/>
      <c r="C7" s="17" t="s">
        <v>145</v>
      </c>
      <c r="D7" s="17"/>
      <c r="E7" s="17"/>
    </row>
    <row r="8" spans="1:8" ht="46.5" x14ac:dyDescent="0.35">
      <c r="A8" s="13" t="s">
        <v>1508</v>
      </c>
      <c r="B8" s="17"/>
      <c r="C8" s="17"/>
      <c r="D8" s="17"/>
      <c r="E8" s="17" t="s">
        <v>145</v>
      </c>
    </row>
    <row r="9" spans="1:8" x14ac:dyDescent="0.35">
      <c r="A9" s="13" t="s">
        <v>151</v>
      </c>
      <c r="B9" s="17"/>
      <c r="C9" s="17"/>
      <c r="D9" s="17"/>
      <c r="E9" s="17"/>
    </row>
    <row r="11" spans="1:8" x14ac:dyDescent="0.35">
      <c r="A11" s="30" t="s">
        <v>57</v>
      </c>
      <c r="B11" s="30"/>
      <c r="C11" s="30"/>
      <c r="D11" s="30"/>
      <c r="E11" s="30"/>
      <c r="F11" s="30"/>
      <c r="G11" s="30"/>
      <c r="H11" s="30"/>
    </row>
    <row r="13" spans="1:8" x14ac:dyDescent="0.35">
      <c r="A13" s="12" t="s">
        <v>58</v>
      </c>
      <c r="B13" s="28" t="s">
        <v>1509</v>
      </c>
      <c r="C13" s="28"/>
      <c r="D13" s="28"/>
      <c r="E13" s="28"/>
      <c r="F13" s="28"/>
      <c r="G13" s="12" t="s">
        <v>60</v>
      </c>
      <c r="H13" s="14" t="s">
        <v>154</v>
      </c>
    </row>
    <row r="14" spans="1:8" x14ac:dyDescent="0.35">
      <c r="A14" s="12" t="s">
        <v>61</v>
      </c>
      <c r="B14" s="28" t="s">
        <v>155</v>
      </c>
      <c r="C14" s="28"/>
      <c r="D14" s="28"/>
      <c r="E14" s="28"/>
      <c r="F14" s="28"/>
      <c r="G14" s="12" t="s">
        <v>63</v>
      </c>
      <c r="H14" s="14" t="s">
        <v>156</v>
      </c>
    </row>
    <row r="15" spans="1:8" x14ac:dyDescent="0.35">
      <c r="A15" s="12" t="s">
        <v>64</v>
      </c>
      <c r="B15" s="28" t="s">
        <v>65</v>
      </c>
      <c r="C15" s="28"/>
      <c r="D15" s="28"/>
      <c r="E15" s="28"/>
      <c r="F15" s="28"/>
      <c r="G15" s="12" t="s">
        <v>66</v>
      </c>
      <c r="H15" s="13" t="s">
        <v>67</v>
      </c>
    </row>
    <row r="16" spans="1:8" x14ac:dyDescent="0.35">
      <c r="A16" s="12" t="s">
        <v>68</v>
      </c>
      <c r="B16" s="28" t="s">
        <v>1510</v>
      </c>
      <c r="C16" s="28"/>
      <c r="D16" s="28"/>
      <c r="E16" s="28"/>
      <c r="F16" s="28"/>
      <c r="G16" s="28"/>
      <c r="H16" s="28"/>
    </row>
    <row r="17" spans="1:8" x14ac:dyDescent="0.35">
      <c r="A17" s="12" t="s">
        <v>70</v>
      </c>
      <c r="B17" s="28" t="s">
        <v>1511</v>
      </c>
      <c r="C17" s="28"/>
      <c r="D17" s="28"/>
      <c r="E17" s="28"/>
      <c r="F17" s="28"/>
      <c r="G17" s="28"/>
      <c r="H17" s="28"/>
    </row>
    <row r="19" spans="1:8" x14ac:dyDescent="0.35">
      <c r="A19" s="29" t="s">
        <v>159</v>
      </c>
      <c r="B19" s="29" t="s">
        <v>72</v>
      </c>
      <c r="C19" s="29" t="s">
        <v>73</v>
      </c>
      <c r="D19" s="29"/>
      <c r="E19" s="29"/>
      <c r="F19" s="29" t="s">
        <v>74</v>
      </c>
      <c r="G19" s="29" t="s">
        <v>75</v>
      </c>
      <c r="H19" s="29" t="s">
        <v>76</v>
      </c>
    </row>
    <row r="20" spans="1:8" x14ac:dyDescent="0.35">
      <c r="A20" s="29"/>
      <c r="B20" s="29"/>
      <c r="C20" s="15" t="s">
        <v>1512</v>
      </c>
      <c r="D20" s="15" t="s">
        <v>1513</v>
      </c>
      <c r="E20" s="15" t="s">
        <v>1514</v>
      </c>
      <c r="F20" s="29"/>
      <c r="G20" s="29"/>
      <c r="H20" s="29"/>
    </row>
    <row r="21" spans="1:8" ht="46.5" x14ac:dyDescent="0.35">
      <c r="A21" s="17" t="s">
        <v>162</v>
      </c>
      <c r="B21" s="16" t="s">
        <v>1515</v>
      </c>
      <c r="C21" s="13" t="s">
        <v>1516</v>
      </c>
      <c r="D21" s="13" t="s">
        <v>1517</v>
      </c>
      <c r="E21" s="13" t="s">
        <v>1261</v>
      </c>
      <c r="F21" s="13" t="s">
        <v>1518</v>
      </c>
      <c r="G21" s="13" t="s">
        <v>96</v>
      </c>
      <c r="H21" s="17" t="s">
        <v>5</v>
      </c>
    </row>
    <row r="22" spans="1:8" ht="46.5" x14ac:dyDescent="0.35">
      <c r="A22" s="17" t="s">
        <v>167</v>
      </c>
      <c r="B22" s="16" t="s">
        <v>1519</v>
      </c>
      <c r="C22" s="13" t="s">
        <v>1520</v>
      </c>
      <c r="D22" s="13" t="s">
        <v>1521</v>
      </c>
      <c r="E22" s="13" t="s">
        <v>1522</v>
      </c>
      <c r="F22" s="13" t="s">
        <v>1523</v>
      </c>
      <c r="G22" s="13" t="s">
        <v>96</v>
      </c>
      <c r="H22" s="17" t="s">
        <v>5</v>
      </c>
    </row>
    <row r="23" spans="1:8" ht="46.5" x14ac:dyDescent="0.35">
      <c r="A23" s="17" t="s">
        <v>171</v>
      </c>
      <c r="B23" s="16" t="s">
        <v>1524</v>
      </c>
      <c r="C23" s="13" t="s">
        <v>1520</v>
      </c>
      <c r="D23" s="13" t="s">
        <v>1525</v>
      </c>
      <c r="E23" s="13" t="s">
        <v>1526</v>
      </c>
      <c r="F23" s="13" t="s">
        <v>1527</v>
      </c>
      <c r="G23" s="13" t="s">
        <v>96</v>
      </c>
      <c r="H23" s="17" t="s">
        <v>5</v>
      </c>
    </row>
    <row r="24" spans="1:8" ht="69.75" x14ac:dyDescent="0.35">
      <c r="A24" s="17" t="s">
        <v>175</v>
      </c>
      <c r="B24" s="16" t="s">
        <v>1528</v>
      </c>
      <c r="C24" s="13" t="s">
        <v>1520</v>
      </c>
      <c r="D24" s="13" t="s">
        <v>1521</v>
      </c>
      <c r="E24" s="13" t="s">
        <v>1526</v>
      </c>
      <c r="F24" s="13" t="s">
        <v>1529</v>
      </c>
      <c r="G24" s="13" t="s">
        <v>1216</v>
      </c>
      <c r="H24" s="17" t="s">
        <v>5</v>
      </c>
    </row>
    <row r="25" spans="1:8" ht="46.5" x14ac:dyDescent="0.35">
      <c r="A25" s="17" t="s">
        <v>175</v>
      </c>
      <c r="B25" s="16" t="s">
        <v>1530</v>
      </c>
      <c r="C25" s="13" t="s">
        <v>1531</v>
      </c>
      <c r="D25" s="13" t="s">
        <v>1521</v>
      </c>
      <c r="E25" s="13" t="s">
        <v>1532</v>
      </c>
      <c r="F25" s="13" t="s">
        <v>1533</v>
      </c>
      <c r="G25" s="13" t="s">
        <v>1216</v>
      </c>
      <c r="H25" s="17" t="s">
        <v>5</v>
      </c>
    </row>
    <row r="26" spans="1:8" ht="46.5" x14ac:dyDescent="0.35">
      <c r="A26" s="17" t="s">
        <v>175</v>
      </c>
      <c r="B26" s="16" t="s">
        <v>1534</v>
      </c>
      <c r="C26" s="13" t="s">
        <v>1535</v>
      </c>
      <c r="D26" s="13" t="s">
        <v>1521</v>
      </c>
      <c r="E26" s="13" t="s">
        <v>1536</v>
      </c>
      <c r="F26" s="13" t="s">
        <v>1537</v>
      </c>
      <c r="G26" s="13" t="s">
        <v>1216</v>
      </c>
      <c r="H26" s="17" t="s">
        <v>5</v>
      </c>
    </row>
    <row r="27" spans="1:8" ht="69.75" x14ac:dyDescent="0.35">
      <c r="A27" s="17" t="s">
        <v>175</v>
      </c>
      <c r="B27" s="16" t="s">
        <v>1538</v>
      </c>
      <c r="C27" s="13" t="s">
        <v>1539</v>
      </c>
      <c r="D27" s="13" t="s">
        <v>1521</v>
      </c>
      <c r="E27" s="13" t="s">
        <v>1526</v>
      </c>
      <c r="F27" s="13" t="s">
        <v>1540</v>
      </c>
      <c r="G27" s="13" t="s">
        <v>1216</v>
      </c>
      <c r="H27" s="17" t="s">
        <v>5</v>
      </c>
    </row>
  </sheetData>
  <mergeCells count="12">
    <mergeCell ref="A11:H11"/>
    <mergeCell ref="B13:F13"/>
    <mergeCell ref="B14:F14"/>
    <mergeCell ref="B15:F15"/>
    <mergeCell ref="B16:H16"/>
    <mergeCell ref="B17:H17"/>
    <mergeCell ref="A19:A20"/>
    <mergeCell ref="B19:B20"/>
    <mergeCell ref="C19:E19"/>
    <mergeCell ref="F19:F20"/>
    <mergeCell ref="G19:G20"/>
    <mergeCell ref="H19:H20"/>
  </mergeCells>
  <conditionalFormatting sqref="H21:H27">
    <cfRule type="cellIs" dxfId="29" priority="1" operator="equal">
      <formula>"Pass"</formula>
    </cfRule>
    <cfRule type="cellIs" dxfId="28" priority="2" operator="equal">
      <formula>"Fail"</formula>
    </cfRule>
    <cfRule type="cellIs" dxfId="27" priority="3" operator="equal">
      <formula>"Block"</formula>
    </cfRule>
  </conditionalFormatting>
  <dataValidations count="1">
    <dataValidation type="list" allowBlank="1" sqref="H21:H27" xr:uid="{BA518A9D-9AAC-496B-AA03-C3A6192D8D8D}">
      <formula1>"Pass,Fail,No run,Block"</formula1>
      <formula2>0</formula2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729F-0908-433F-AC9F-263B19BA90CF}">
  <dimension ref="A1:I22"/>
  <sheetViews>
    <sheetView topLeftCell="A12" workbookViewId="0">
      <selection activeCell="F19" sqref="F19"/>
    </sheetView>
  </sheetViews>
  <sheetFormatPr defaultColWidth="7.625" defaultRowHeight="23.25" x14ac:dyDescent="0.35"/>
  <cols>
    <col min="1" max="1" width="19.25" style="8" customWidth="1"/>
    <col min="2" max="4" width="17.5" style="8" customWidth="1"/>
    <col min="5" max="5" width="40.25" style="8" customWidth="1"/>
    <col min="6" max="6" width="31.125" style="8" customWidth="1"/>
    <col min="7" max="7" width="14.875" style="8" customWidth="1"/>
    <col min="8" max="8" width="12.25" style="8" customWidth="1"/>
    <col min="9" max="9" width="14.62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1541</v>
      </c>
      <c r="C4" s="31"/>
      <c r="E4" s="11" t="s">
        <v>21</v>
      </c>
      <c r="F4" s="31" t="s">
        <v>1542</v>
      </c>
      <c r="G4" s="31"/>
      <c r="H4" s="31"/>
      <c r="I4" s="31"/>
    </row>
    <row r="5" spans="1:9" ht="24" thickBot="1" x14ac:dyDescent="0.4">
      <c r="A5" s="11" t="s">
        <v>23</v>
      </c>
      <c r="B5" s="31" t="s">
        <v>1543</v>
      </c>
      <c r="C5" s="31"/>
      <c r="E5" s="11" t="s">
        <v>25</v>
      </c>
      <c r="F5" s="31" t="s">
        <v>1544</v>
      </c>
      <c r="G5" s="31"/>
      <c r="H5" s="31"/>
      <c r="I5" s="31"/>
    </row>
    <row r="6" spans="1:9" ht="24" thickBot="1" x14ac:dyDescent="0.4">
      <c r="E6" s="11" t="s">
        <v>29</v>
      </c>
      <c r="F6" s="31" t="s">
        <v>1545</v>
      </c>
      <c r="G6" s="31"/>
      <c r="H6" s="31"/>
      <c r="I6" s="31"/>
    </row>
    <row r="8" spans="1:9" x14ac:dyDescent="0.35">
      <c r="A8" s="30" t="s">
        <v>57</v>
      </c>
      <c r="B8" s="30"/>
      <c r="C8" s="30"/>
      <c r="D8" s="30"/>
      <c r="E8" s="30"/>
      <c r="F8" s="30"/>
      <c r="G8" s="30"/>
      <c r="H8" s="30"/>
      <c r="I8" s="30"/>
    </row>
    <row r="10" spans="1:9" x14ac:dyDescent="0.35">
      <c r="A10" s="12" t="s">
        <v>58</v>
      </c>
      <c r="B10" s="28" t="s">
        <v>1546</v>
      </c>
      <c r="C10" s="28"/>
      <c r="D10" s="28"/>
      <c r="E10" s="28"/>
      <c r="F10" s="21"/>
      <c r="G10" s="21"/>
      <c r="H10" s="12" t="s">
        <v>60</v>
      </c>
      <c r="I10" s="14" t="s">
        <v>154</v>
      </c>
    </row>
    <row r="11" spans="1:9" x14ac:dyDescent="0.35">
      <c r="A11" s="12" t="s">
        <v>61</v>
      </c>
      <c r="B11" s="28" t="s">
        <v>62</v>
      </c>
      <c r="C11" s="28"/>
      <c r="D11" s="28"/>
      <c r="E11" s="28"/>
      <c r="F11" s="21"/>
      <c r="G11" s="21"/>
      <c r="H11" s="12" t="s">
        <v>63</v>
      </c>
      <c r="I11" s="14" t="s">
        <v>156</v>
      </c>
    </row>
    <row r="12" spans="1:9" ht="46.5" x14ac:dyDescent="0.35">
      <c r="A12" s="12" t="s">
        <v>64</v>
      </c>
      <c r="B12" s="28" t="s">
        <v>65</v>
      </c>
      <c r="C12" s="28"/>
      <c r="D12" s="28"/>
      <c r="E12" s="28"/>
      <c r="F12" s="21"/>
      <c r="G12" s="21"/>
      <c r="H12" s="12" t="s">
        <v>66</v>
      </c>
      <c r="I12" s="13" t="s">
        <v>67</v>
      </c>
    </row>
    <row r="13" spans="1:9" ht="46.5" x14ac:dyDescent="0.35">
      <c r="A13" s="12" t="s">
        <v>68</v>
      </c>
      <c r="B13" s="28" t="s">
        <v>1547</v>
      </c>
      <c r="C13" s="28"/>
      <c r="D13" s="28"/>
      <c r="E13" s="28"/>
      <c r="F13" s="28"/>
      <c r="G13" s="28"/>
      <c r="H13" s="28"/>
      <c r="I13" s="28"/>
    </row>
    <row r="14" spans="1:9" ht="46.5" x14ac:dyDescent="0.35">
      <c r="A14" s="12" t="s">
        <v>70</v>
      </c>
      <c r="B14" s="28" t="s">
        <v>1548</v>
      </c>
      <c r="C14" s="28"/>
      <c r="D14" s="28"/>
      <c r="E14" s="28"/>
      <c r="F14" s="28"/>
      <c r="G14" s="28"/>
      <c r="H14" s="28"/>
      <c r="I14" s="28"/>
    </row>
    <row r="16" spans="1:9" x14ac:dyDescent="0.35">
      <c r="A16" s="29" t="s">
        <v>72</v>
      </c>
      <c r="B16" s="29" t="s">
        <v>73</v>
      </c>
      <c r="C16" s="29"/>
      <c r="D16" s="29"/>
      <c r="E16" s="29" t="s">
        <v>74</v>
      </c>
      <c r="F16" s="29" t="s">
        <v>75</v>
      </c>
      <c r="G16" s="29" t="s">
        <v>76</v>
      </c>
    </row>
    <row r="17" spans="1:7" x14ac:dyDescent="0.35">
      <c r="A17" s="29"/>
      <c r="B17" s="15" t="s">
        <v>1549</v>
      </c>
      <c r="C17" s="15" t="s">
        <v>1550</v>
      </c>
      <c r="D17" s="15" t="s">
        <v>1238</v>
      </c>
      <c r="E17" s="29"/>
      <c r="F17" s="29"/>
      <c r="G17" s="29"/>
    </row>
    <row r="18" spans="1:7" ht="69.75" x14ac:dyDescent="0.35">
      <c r="A18" s="16" t="s">
        <v>1551</v>
      </c>
      <c r="B18" s="13" t="s">
        <v>1552</v>
      </c>
      <c r="C18" s="13" t="s">
        <v>1553</v>
      </c>
      <c r="D18" s="13" t="s">
        <v>1554</v>
      </c>
      <c r="E18" s="13" t="s">
        <v>1555</v>
      </c>
      <c r="F18" s="13" t="s">
        <v>1668</v>
      </c>
      <c r="G18" s="17" t="s">
        <v>5</v>
      </c>
    </row>
    <row r="19" spans="1:7" x14ac:dyDescent="0.35">
      <c r="A19" s="16" t="s">
        <v>1556</v>
      </c>
      <c r="B19" s="13" t="s">
        <v>1557</v>
      </c>
      <c r="C19" s="13" t="s">
        <v>1558</v>
      </c>
      <c r="D19" s="13" t="s">
        <v>1554</v>
      </c>
      <c r="E19" s="13" t="s">
        <v>1559</v>
      </c>
      <c r="F19" s="13" t="s">
        <v>1669</v>
      </c>
      <c r="G19" s="17" t="s">
        <v>5</v>
      </c>
    </row>
    <row r="20" spans="1:7" ht="46.5" x14ac:dyDescent="0.35">
      <c r="A20" s="16" t="s">
        <v>1560</v>
      </c>
      <c r="B20" s="13" t="s">
        <v>1520</v>
      </c>
      <c r="C20" s="13" t="s">
        <v>1553</v>
      </c>
      <c r="D20" s="13" t="s">
        <v>1561</v>
      </c>
      <c r="E20" s="13" t="s">
        <v>1562</v>
      </c>
      <c r="F20" s="13" t="s">
        <v>201</v>
      </c>
      <c r="G20" s="17" t="s">
        <v>5</v>
      </c>
    </row>
    <row r="21" spans="1:7" ht="46.5" x14ac:dyDescent="0.35">
      <c r="A21" s="16" t="s">
        <v>1563</v>
      </c>
      <c r="B21" s="13" t="s">
        <v>1552</v>
      </c>
      <c r="C21" s="13" t="s">
        <v>1535</v>
      </c>
      <c r="D21" s="13" t="s">
        <v>1564</v>
      </c>
      <c r="E21" s="13" t="s">
        <v>1565</v>
      </c>
      <c r="F21" s="13" t="s">
        <v>201</v>
      </c>
      <c r="G21" s="17" t="s">
        <v>5</v>
      </c>
    </row>
    <row r="22" spans="1:7" ht="46.5" x14ac:dyDescent="0.35">
      <c r="A22" s="16" t="s">
        <v>1566</v>
      </c>
      <c r="B22" s="13" t="s">
        <v>1520</v>
      </c>
      <c r="C22" s="13" t="s">
        <v>1535</v>
      </c>
      <c r="D22" s="13" t="s">
        <v>1567</v>
      </c>
      <c r="E22" s="13" t="s">
        <v>1568</v>
      </c>
      <c r="F22" s="13" t="s">
        <v>201</v>
      </c>
      <c r="G22" s="17" t="s">
        <v>5</v>
      </c>
    </row>
  </sheetData>
  <mergeCells count="20">
    <mergeCell ref="B11:E11"/>
    <mergeCell ref="A1:I1"/>
    <mergeCell ref="E2:F2"/>
    <mergeCell ref="B3:C3"/>
    <mergeCell ref="F3:I3"/>
    <mergeCell ref="B4:C4"/>
    <mergeCell ref="F4:I4"/>
    <mergeCell ref="B5:C5"/>
    <mergeCell ref="F5:I5"/>
    <mergeCell ref="F6:I6"/>
    <mergeCell ref="A8:I8"/>
    <mergeCell ref="B10:E10"/>
    <mergeCell ref="B12:E12"/>
    <mergeCell ref="B13:I13"/>
    <mergeCell ref="B14:I14"/>
    <mergeCell ref="A16:A17"/>
    <mergeCell ref="B16:D16"/>
    <mergeCell ref="E16:E17"/>
    <mergeCell ref="F16:F17"/>
    <mergeCell ref="G16:G17"/>
  </mergeCells>
  <conditionalFormatting sqref="G18:G22">
    <cfRule type="cellIs" dxfId="26" priority="1" operator="equal">
      <formula>"Pass"</formula>
    </cfRule>
    <cfRule type="cellIs" dxfId="25" priority="2" operator="equal">
      <formula>"Fail"</formula>
    </cfRule>
    <cfRule type="cellIs" dxfId="24" priority="3" operator="equal">
      <formula>"Block"</formula>
    </cfRule>
  </conditionalFormatting>
  <dataValidations count="1">
    <dataValidation type="list" allowBlank="1" sqref="G18:G22" xr:uid="{75274339-D598-4731-80C6-2201CD02AA76}">
      <formula1>"Pass,Fail,No run,Block"</formula1>
      <formula2>0</formula2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0250-C1F7-4700-B60F-179C24072EFC}">
  <dimension ref="A1:H34"/>
  <sheetViews>
    <sheetView topLeftCell="A28" workbookViewId="0">
      <selection activeCell="G34" sqref="G34"/>
    </sheetView>
  </sheetViews>
  <sheetFormatPr defaultColWidth="7.625" defaultRowHeight="23.25" x14ac:dyDescent="0.35"/>
  <cols>
    <col min="1" max="1" width="29.75" style="8" customWidth="1"/>
    <col min="2" max="2" width="14" style="8" customWidth="1"/>
    <col min="3" max="5" width="15.75" style="8" customWidth="1"/>
    <col min="6" max="6" width="38.5" style="8" customWidth="1"/>
    <col min="7" max="7" width="32.5" style="8" customWidth="1"/>
    <col min="8" max="8" width="16.875" style="8" customWidth="1"/>
    <col min="9" max="16384" width="7.625" style="8"/>
  </cols>
  <sheetData>
    <row r="1" spans="1:8" x14ac:dyDescent="0.35">
      <c r="A1" s="18" t="s">
        <v>18</v>
      </c>
      <c r="B1" s="19" t="s">
        <v>126</v>
      </c>
      <c r="C1" s="19" t="s">
        <v>127</v>
      </c>
      <c r="D1" s="19" t="s">
        <v>128</v>
      </c>
      <c r="E1" s="19" t="s">
        <v>129</v>
      </c>
      <c r="F1" s="19" t="s">
        <v>130</v>
      </c>
      <c r="G1" s="19" t="s">
        <v>131</v>
      </c>
      <c r="H1" s="19" t="s">
        <v>132</v>
      </c>
    </row>
    <row r="2" spans="1:8" x14ac:dyDescent="0.35">
      <c r="A2" s="13" t="s">
        <v>1569</v>
      </c>
      <c r="B2" s="17" t="s">
        <v>136</v>
      </c>
      <c r="C2" s="17" t="s">
        <v>135</v>
      </c>
      <c r="D2" s="17" t="s">
        <v>135</v>
      </c>
      <c r="E2" s="17" t="s">
        <v>135</v>
      </c>
      <c r="F2" s="17" t="s">
        <v>135</v>
      </c>
      <c r="G2" s="17" t="s">
        <v>135</v>
      </c>
      <c r="H2" s="17" t="s">
        <v>135</v>
      </c>
    </row>
    <row r="3" spans="1:8" x14ac:dyDescent="0.35">
      <c r="A3" s="13" t="s">
        <v>1570</v>
      </c>
      <c r="B3" s="17" t="s">
        <v>85</v>
      </c>
      <c r="C3" s="17" t="s">
        <v>135</v>
      </c>
      <c r="D3" s="17" t="s">
        <v>136</v>
      </c>
      <c r="E3" s="17" t="s">
        <v>136</v>
      </c>
      <c r="F3" s="17" t="s">
        <v>136</v>
      </c>
      <c r="G3" s="17" t="s">
        <v>136</v>
      </c>
      <c r="H3" s="17" t="s">
        <v>136</v>
      </c>
    </row>
    <row r="4" spans="1:8" x14ac:dyDescent="0.35">
      <c r="A4" s="13" t="s">
        <v>1571</v>
      </c>
      <c r="B4" s="17" t="s">
        <v>85</v>
      </c>
      <c r="C4" s="17" t="s">
        <v>85</v>
      </c>
      <c r="D4" s="17" t="s">
        <v>135</v>
      </c>
      <c r="E4" s="17" t="s">
        <v>136</v>
      </c>
      <c r="F4" s="17" t="s">
        <v>136</v>
      </c>
      <c r="G4" s="17" t="s">
        <v>136</v>
      </c>
      <c r="H4" s="17" t="s">
        <v>136</v>
      </c>
    </row>
    <row r="5" spans="1:8" x14ac:dyDescent="0.35">
      <c r="A5" s="13" t="s">
        <v>1572</v>
      </c>
      <c r="B5" s="17" t="s">
        <v>85</v>
      </c>
      <c r="C5" s="17" t="s">
        <v>85</v>
      </c>
      <c r="D5" s="17" t="s">
        <v>85</v>
      </c>
      <c r="E5" s="17" t="s">
        <v>135</v>
      </c>
      <c r="F5" s="17" t="s">
        <v>135</v>
      </c>
      <c r="G5" s="17" t="s">
        <v>136</v>
      </c>
      <c r="H5" s="17" t="s">
        <v>136</v>
      </c>
    </row>
    <row r="6" spans="1:8" x14ac:dyDescent="0.35">
      <c r="A6" s="13" t="s">
        <v>1573</v>
      </c>
      <c r="B6" s="17" t="s">
        <v>85</v>
      </c>
      <c r="C6" s="17" t="s">
        <v>85</v>
      </c>
      <c r="D6" s="17" t="s">
        <v>85</v>
      </c>
      <c r="E6" s="17" t="s">
        <v>136</v>
      </c>
      <c r="F6" s="17" t="s">
        <v>135</v>
      </c>
      <c r="G6" s="17" t="s">
        <v>85</v>
      </c>
      <c r="H6" s="17" t="s">
        <v>85</v>
      </c>
    </row>
    <row r="7" spans="1:8" x14ac:dyDescent="0.35">
      <c r="A7" s="13" t="s">
        <v>1574</v>
      </c>
      <c r="B7" s="17" t="s">
        <v>85</v>
      </c>
      <c r="C7" s="17" t="s">
        <v>85</v>
      </c>
      <c r="D7" s="17" t="s">
        <v>85</v>
      </c>
      <c r="E7" s="17" t="s">
        <v>85</v>
      </c>
      <c r="F7" s="17" t="s">
        <v>85</v>
      </c>
      <c r="G7" s="17" t="s">
        <v>135</v>
      </c>
      <c r="H7" s="17" t="s">
        <v>136</v>
      </c>
    </row>
    <row r="8" spans="1:8" x14ac:dyDescent="0.35">
      <c r="A8" s="18" t="s">
        <v>143</v>
      </c>
      <c r="B8" s="20"/>
      <c r="C8" s="20"/>
      <c r="D8" s="20"/>
      <c r="E8" s="20"/>
      <c r="F8" s="20"/>
      <c r="G8" s="20"/>
      <c r="H8" s="20"/>
    </row>
    <row r="9" spans="1:8" x14ac:dyDescent="0.35">
      <c r="A9" s="13" t="s">
        <v>1575</v>
      </c>
      <c r="B9" s="17" t="s">
        <v>145</v>
      </c>
      <c r="C9" s="17"/>
      <c r="D9" s="17"/>
      <c r="E9" s="17"/>
      <c r="F9" s="17"/>
      <c r="G9" s="17"/>
      <c r="H9" s="17"/>
    </row>
    <row r="10" spans="1:8" x14ac:dyDescent="0.35">
      <c r="A10" s="13" t="s">
        <v>1576</v>
      </c>
      <c r="B10" s="17"/>
      <c r="C10" s="17" t="s">
        <v>145</v>
      </c>
      <c r="D10" s="17" t="s">
        <v>145</v>
      </c>
      <c r="E10" s="17"/>
      <c r="F10" s="17"/>
      <c r="G10" s="17"/>
      <c r="H10" s="17"/>
    </row>
    <row r="11" spans="1:8" ht="46.5" x14ac:dyDescent="0.35">
      <c r="A11" s="13" t="s">
        <v>1577</v>
      </c>
      <c r="B11" s="17"/>
      <c r="C11" s="17"/>
      <c r="D11" s="17"/>
      <c r="E11" s="17" t="s">
        <v>145</v>
      </c>
      <c r="F11" s="17"/>
      <c r="G11" s="17"/>
      <c r="H11" s="17"/>
    </row>
    <row r="12" spans="1:8" x14ac:dyDescent="0.35">
      <c r="A12" s="13" t="s">
        <v>1578</v>
      </c>
      <c r="B12" s="17"/>
      <c r="C12" s="17"/>
      <c r="D12" s="17"/>
      <c r="E12" s="17"/>
      <c r="F12" s="17" t="s">
        <v>145</v>
      </c>
      <c r="G12" s="17"/>
      <c r="H12" s="17"/>
    </row>
    <row r="13" spans="1:8" x14ac:dyDescent="0.35">
      <c r="A13" s="13" t="s">
        <v>1579</v>
      </c>
      <c r="B13" s="17"/>
      <c r="C13" s="17"/>
      <c r="D13" s="17"/>
      <c r="E13" s="17"/>
      <c r="F13" s="17" t="s">
        <v>145</v>
      </c>
      <c r="G13" s="17" t="s">
        <v>145</v>
      </c>
      <c r="H13" s="17" t="s">
        <v>145</v>
      </c>
    </row>
    <row r="14" spans="1:8" ht="46.5" x14ac:dyDescent="0.35">
      <c r="A14" s="13" t="s">
        <v>1580</v>
      </c>
      <c r="B14" s="17"/>
      <c r="C14" s="17"/>
      <c r="D14" s="17"/>
      <c r="E14" s="17"/>
      <c r="F14" s="17"/>
      <c r="G14" s="17" t="s">
        <v>145</v>
      </c>
      <c r="H14" s="17"/>
    </row>
    <row r="15" spans="1:8" x14ac:dyDescent="0.35">
      <c r="A15" s="13" t="s">
        <v>151</v>
      </c>
      <c r="B15" s="17"/>
      <c r="C15" s="17"/>
      <c r="D15" s="17"/>
      <c r="E15" s="17"/>
      <c r="F15" s="17"/>
      <c r="G15" s="17"/>
      <c r="H15" s="17"/>
    </row>
    <row r="17" spans="1:8" x14ac:dyDescent="0.35">
      <c r="A17" s="30" t="s">
        <v>57</v>
      </c>
      <c r="B17" s="30"/>
      <c r="C17" s="30"/>
      <c r="D17" s="30"/>
      <c r="E17" s="30"/>
      <c r="F17" s="30"/>
      <c r="G17" s="30"/>
      <c r="H17" s="30"/>
    </row>
    <row r="19" spans="1:8" x14ac:dyDescent="0.35">
      <c r="A19" s="12" t="s">
        <v>58</v>
      </c>
      <c r="B19" s="28" t="s">
        <v>1581</v>
      </c>
      <c r="C19" s="28"/>
      <c r="D19" s="28"/>
      <c r="E19" s="28"/>
      <c r="F19" s="28"/>
      <c r="G19" s="12" t="s">
        <v>60</v>
      </c>
      <c r="H19" s="14" t="s">
        <v>154</v>
      </c>
    </row>
    <row r="20" spans="1:8" x14ac:dyDescent="0.35">
      <c r="A20" s="12" t="s">
        <v>61</v>
      </c>
      <c r="B20" s="28" t="s">
        <v>155</v>
      </c>
      <c r="C20" s="28"/>
      <c r="D20" s="28"/>
      <c r="E20" s="28"/>
      <c r="F20" s="28"/>
      <c r="G20" s="12" t="s">
        <v>63</v>
      </c>
      <c r="H20" s="14" t="s">
        <v>156</v>
      </c>
    </row>
    <row r="21" spans="1:8" x14ac:dyDescent="0.35">
      <c r="A21" s="12" t="s">
        <v>64</v>
      </c>
      <c r="B21" s="28" t="s">
        <v>65</v>
      </c>
      <c r="C21" s="28"/>
      <c r="D21" s="28"/>
      <c r="E21" s="28"/>
      <c r="F21" s="28"/>
      <c r="G21" s="12" t="s">
        <v>66</v>
      </c>
      <c r="H21" s="13" t="s">
        <v>67</v>
      </c>
    </row>
    <row r="22" spans="1:8" x14ac:dyDescent="0.35">
      <c r="A22" s="12" t="s">
        <v>68</v>
      </c>
      <c r="B22" s="28" t="s">
        <v>1582</v>
      </c>
      <c r="C22" s="28"/>
      <c r="D22" s="28"/>
      <c r="E22" s="28"/>
      <c r="F22" s="28"/>
      <c r="G22" s="28"/>
      <c r="H22" s="28"/>
    </row>
    <row r="23" spans="1:8" x14ac:dyDescent="0.35">
      <c r="A23" s="12" t="s">
        <v>70</v>
      </c>
      <c r="B23" s="28" t="s">
        <v>1583</v>
      </c>
      <c r="C23" s="28"/>
      <c r="D23" s="28"/>
      <c r="E23" s="28"/>
      <c r="F23" s="28"/>
      <c r="G23" s="28"/>
      <c r="H23" s="28"/>
    </row>
    <row r="25" spans="1:8" x14ac:dyDescent="0.35">
      <c r="A25" s="29" t="s">
        <v>159</v>
      </c>
      <c r="B25" s="29" t="s">
        <v>72</v>
      </c>
      <c r="C25" s="29" t="s">
        <v>73</v>
      </c>
      <c r="D25" s="29"/>
      <c r="E25" s="29"/>
      <c r="F25" s="29" t="s">
        <v>74</v>
      </c>
      <c r="G25" s="29" t="s">
        <v>75</v>
      </c>
      <c r="H25" s="29" t="s">
        <v>76</v>
      </c>
    </row>
    <row r="26" spans="1:8" x14ac:dyDescent="0.35">
      <c r="A26" s="29"/>
      <c r="B26" s="29"/>
      <c r="C26" s="15" t="s">
        <v>1584</v>
      </c>
      <c r="D26" s="15" t="s">
        <v>1154</v>
      </c>
      <c r="E26" s="15" t="s">
        <v>1238</v>
      </c>
      <c r="F26" s="29"/>
      <c r="G26" s="29"/>
      <c r="H26" s="29"/>
    </row>
    <row r="27" spans="1:8" x14ac:dyDescent="0.35">
      <c r="A27" s="17" t="s">
        <v>162</v>
      </c>
      <c r="B27" s="16" t="s">
        <v>1585</v>
      </c>
      <c r="C27" s="13" t="s">
        <v>104</v>
      </c>
      <c r="D27" s="13" t="s">
        <v>1586</v>
      </c>
      <c r="E27" s="13" t="s">
        <v>85</v>
      </c>
      <c r="F27" s="13" t="s">
        <v>99</v>
      </c>
      <c r="G27" s="13" t="s">
        <v>99</v>
      </c>
      <c r="H27" s="17" t="s">
        <v>5</v>
      </c>
    </row>
    <row r="28" spans="1:8" ht="69.75" x14ac:dyDescent="0.35">
      <c r="A28" s="17" t="s">
        <v>167</v>
      </c>
      <c r="B28" s="16" t="s">
        <v>1587</v>
      </c>
      <c r="C28" s="13" t="s">
        <v>86</v>
      </c>
      <c r="D28" s="13" t="s">
        <v>1588</v>
      </c>
      <c r="E28" s="13" t="s">
        <v>1589</v>
      </c>
      <c r="F28" s="13" t="s">
        <v>1590</v>
      </c>
      <c r="G28" s="13" t="s">
        <v>201</v>
      </c>
      <c r="H28" s="17" t="s">
        <v>5</v>
      </c>
    </row>
    <row r="29" spans="1:8" ht="46.5" x14ac:dyDescent="0.35">
      <c r="A29" s="17" t="s">
        <v>171</v>
      </c>
      <c r="B29" s="16" t="s">
        <v>1591</v>
      </c>
      <c r="C29" s="13" t="s">
        <v>86</v>
      </c>
      <c r="D29" s="13" t="s">
        <v>1592</v>
      </c>
      <c r="E29" s="13" t="s">
        <v>1593</v>
      </c>
      <c r="F29" s="13" t="s">
        <v>1594</v>
      </c>
      <c r="G29" s="13" t="s">
        <v>201</v>
      </c>
      <c r="H29" s="17" t="s">
        <v>5</v>
      </c>
    </row>
    <row r="30" spans="1:8" ht="93" x14ac:dyDescent="0.35">
      <c r="A30" s="17" t="s">
        <v>175</v>
      </c>
      <c r="B30" s="16" t="s">
        <v>1595</v>
      </c>
      <c r="C30" s="13" t="s">
        <v>86</v>
      </c>
      <c r="D30" s="13" t="s">
        <v>1596</v>
      </c>
      <c r="E30" s="13" t="s">
        <v>85</v>
      </c>
      <c r="F30" s="13" t="s">
        <v>1597</v>
      </c>
      <c r="G30" s="13" t="s">
        <v>102</v>
      </c>
      <c r="H30" s="17" t="s">
        <v>5</v>
      </c>
    </row>
    <row r="31" spans="1:8" ht="69.75" x14ac:dyDescent="0.35">
      <c r="A31" s="17" t="s">
        <v>175</v>
      </c>
      <c r="B31" s="16" t="s">
        <v>1598</v>
      </c>
      <c r="C31" s="13" t="s">
        <v>86</v>
      </c>
      <c r="D31" s="13" t="s">
        <v>1599</v>
      </c>
      <c r="E31" s="13" t="s">
        <v>85</v>
      </c>
      <c r="F31" s="13" t="s">
        <v>102</v>
      </c>
      <c r="G31" s="13" t="s">
        <v>102</v>
      </c>
      <c r="H31" s="17" t="s">
        <v>5</v>
      </c>
    </row>
    <row r="32" spans="1:8" ht="93" x14ac:dyDescent="0.35">
      <c r="A32" s="17" t="s">
        <v>183</v>
      </c>
      <c r="B32" s="16" t="s">
        <v>1600</v>
      </c>
      <c r="C32" s="13" t="s">
        <v>86</v>
      </c>
      <c r="D32" s="13" t="s">
        <v>1601</v>
      </c>
      <c r="E32" s="13" t="s">
        <v>85</v>
      </c>
      <c r="F32" s="13" t="s">
        <v>1602</v>
      </c>
      <c r="G32" s="13" t="s">
        <v>1602</v>
      </c>
      <c r="H32" s="17" t="s">
        <v>5</v>
      </c>
    </row>
    <row r="33" spans="1:8" ht="93" x14ac:dyDescent="0.35">
      <c r="A33" s="17" t="s">
        <v>188</v>
      </c>
      <c r="B33" s="16" t="s">
        <v>1603</v>
      </c>
      <c r="C33" s="13" t="s">
        <v>1604</v>
      </c>
      <c r="D33" s="13" t="s">
        <v>1605</v>
      </c>
      <c r="E33" s="13" t="s">
        <v>85</v>
      </c>
      <c r="F33" s="13" t="s">
        <v>1606</v>
      </c>
      <c r="G33" s="13" t="s">
        <v>1606</v>
      </c>
      <c r="H33" s="17" t="s">
        <v>5</v>
      </c>
    </row>
    <row r="34" spans="1:8" ht="46.5" x14ac:dyDescent="0.35">
      <c r="A34" s="17" t="s">
        <v>193</v>
      </c>
      <c r="B34" s="16" t="s">
        <v>1607</v>
      </c>
      <c r="C34" s="13" t="s">
        <v>1608</v>
      </c>
      <c r="D34" s="13" t="s">
        <v>1609</v>
      </c>
      <c r="E34" s="13" t="s">
        <v>85</v>
      </c>
      <c r="F34" s="13" t="s">
        <v>1610</v>
      </c>
      <c r="G34" s="13" t="s">
        <v>1610</v>
      </c>
      <c r="H34" s="17" t="s">
        <v>5</v>
      </c>
    </row>
  </sheetData>
  <mergeCells count="12">
    <mergeCell ref="A17:H17"/>
    <mergeCell ref="B19:F19"/>
    <mergeCell ref="B20:F20"/>
    <mergeCell ref="B21:F21"/>
    <mergeCell ref="B22:H22"/>
    <mergeCell ref="B23:H23"/>
    <mergeCell ref="A25:A26"/>
    <mergeCell ref="B25:B26"/>
    <mergeCell ref="C25:E25"/>
    <mergeCell ref="F25:F26"/>
    <mergeCell ref="G25:G26"/>
    <mergeCell ref="H25:H26"/>
  </mergeCells>
  <conditionalFormatting sqref="H27:H34">
    <cfRule type="cellIs" dxfId="23" priority="1" operator="equal">
      <formula>"Pass"</formula>
    </cfRule>
    <cfRule type="cellIs" dxfId="22" priority="2" operator="equal">
      <formula>"Fail"</formula>
    </cfRule>
    <cfRule type="cellIs" dxfId="21" priority="3" operator="equal">
      <formula>"Block"</formula>
    </cfRule>
  </conditionalFormatting>
  <dataValidations count="1">
    <dataValidation type="list" allowBlank="1" sqref="H27:H34" xr:uid="{512713CF-BD86-4FC3-8934-D24B10F54306}">
      <formula1>"Pass,Fail,No run,Block"</formula1>
      <formula2>0</formula2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C50F-0F30-460B-8E56-9858F338BE45}">
  <dimension ref="A1:J18"/>
  <sheetViews>
    <sheetView workbookViewId="0">
      <selection activeCell="J18" sqref="J18"/>
    </sheetView>
  </sheetViews>
  <sheetFormatPr defaultColWidth="7.625" defaultRowHeight="23.25" x14ac:dyDescent="0.35"/>
  <cols>
    <col min="1" max="3" width="19.25" style="8" customWidth="1"/>
    <col min="4" max="4" width="38.5" style="8" customWidth="1"/>
    <col min="5" max="5" width="36.625" style="8" customWidth="1"/>
    <col min="6" max="6" width="14.87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ht="46.5" x14ac:dyDescent="0.35">
      <c r="A1" s="30" t="s">
        <v>57</v>
      </c>
      <c r="B1" s="30"/>
      <c r="C1" s="30"/>
      <c r="D1" s="30"/>
      <c r="E1" s="30"/>
      <c r="F1" s="30"/>
      <c r="I1" s="13"/>
      <c r="J1" s="15" t="s">
        <v>1611</v>
      </c>
    </row>
    <row r="2" spans="1:10" x14ac:dyDescent="0.35">
      <c r="I2" s="17" t="s">
        <v>227</v>
      </c>
      <c r="J2" s="17" t="s">
        <v>1612</v>
      </c>
    </row>
    <row r="3" spans="1:10" x14ac:dyDescent="0.35">
      <c r="A3" s="12" t="s">
        <v>58</v>
      </c>
      <c r="B3" s="28" t="s">
        <v>1613</v>
      </c>
      <c r="C3" s="28"/>
      <c r="D3" s="28"/>
      <c r="E3" s="12" t="s">
        <v>60</v>
      </c>
      <c r="F3" s="14" t="s">
        <v>154</v>
      </c>
      <c r="I3" s="17" t="s">
        <v>233</v>
      </c>
      <c r="J3" s="17" t="s">
        <v>1614</v>
      </c>
    </row>
    <row r="4" spans="1:10" x14ac:dyDescent="0.35">
      <c r="A4" s="12" t="s">
        <v>61</v>
      </c>
      <c r="B4" s="28" t="s">
        <v>308</v>
      </c>
      <c r="C4" s="28"/>
      <c r="D4" s="28"/>
      <c r="E4" s="12" t="s">
        <v>63</v>
      </c>
      <c r="F4" s="14" t="s">
        <v>156</v>
      </c>
      <c r="I4" s="17" t="s">
        <v>301</v>
      </c>
      <c r="J4" s="17" t="s">
        <v>263</v>
      </c>
    </row>
    <row r="5" spans="1:10" ht="46.5" x14ac:dyDescent="0.35">
      <c r="A5" s="12" t="s">
        <v>64</v>
      </c>
      <c r="B5" s="28" t="s">
        <v>65</v>
      </c>
      <c r="C5" s="28"/>
      <c r="D5" s="28"/>
      <c r="E5" s="12" t="s">
        <v>66</v>
      </c>
      <c r="F5" s="13" t="s">
        <v>67</v>
      </c>
      <c r="I5" s="17" t="s">
        <v>305</v>
      </c>
      <c r="J5" s="17" t="s">
        <v>266</v>
      </c>
    </row>
    <row r="6" spans="1:10" ht="46.5" x14ac:dyDescent="0.35">
      <c r="A6" s="12" t="s">
        <v>68</v>
      </c>
      <c r="B6" s="28" t="s">
        <v>1615</v>
      </c>
      <c r="C6" s="28"/>
      <c r="D6" s="28"/>
      <c r="E6" s="28"/>
      <c r="F6" s="28"/>
      <c r="I6" s="17" t="s">
        <v>309</v>
      </c>
      <c r="J6" s="17" t="s">
        <v>269</v>
      </c>
    </row>
    <row r="7" spans="1:10" ht="46.5" x14ac:dyDescent="0.35">
      <c r="A7" s="12" t="s">
        <v>70</v>
      </c>
      <c r="B7" s="28" t="s">
        <v>1616</v>
      </c>
      <c r="C7" s="28"/>
      <c r="D7" s="28"/>
      <c r="E7" s="28"/>
      <c r="F7" s="28"/>
    </row>
    <row r="9" spans="1:10" x14ac:dyDescent="0.35">
      <c r="A9" s="29" t="s">
        <v>72</v>
      </c>
      <c r="B9" s="29" t="s">
        <v>73</v>
      </c>
      <c r="C9" s="29"/>
      <c r="D9" s="29" t="s">
        <v>74</v>
      </c>
      <c r="E9" s="29" t="s">
        <v>75</v>
      </c>
      <c r="F9" s="29" t="s">
        <v>76</v>
      </c>
    </row>
    <row r="10" spans="1:10" ht="46.5" x14ac:dyDescent="0.35">
      <c r="A10" s="29"/>
      <c r="B10" s="15" t="s">
        <v>1617</v>
      </c>
      <c r="C10" s="15" t="s">
        <v>1618</v>
      </c>
      <c r="D10" s="29"/>
      <c r="E10" s="29"/>
      <c r="F10" s="29"/>
    </row>
    <row r="11" spans="1:10" ht="46.5" x14ac:dyDescent="0.35">
      <c r="A11" s="16" t="s">
        <v>1619</v>
      </c>
      <c r="B11" s="13" t="s">
        <v>1612</v>
      </c>
      <c r="C11" s="13" t="s">
        <v>1620</v>
      </c>
      <c r="D11" s="13" t="s">
        <v>1621</v>
      </c>
      <c r="E11" s="13" t="s">
        <v>1621</v>
      </c>
      <c r="F11" s="17" t="s">
        <v>5</v>
      </c>
    </row>
    <row r="12" spans="1:10" x14ac:dyDescent="0.35">
      <c r="A12" s="16" t="s">
        <v>1622</v>
      </c>
      <c r="B12" s="13" t="s">
        <v>1614</v>
      </c>
      <c r="C12" s="13" t="s">
        <v>85</v>
      </c>
      <c r="D12" s="13" t="s">
        <v>1623</v>
      </c>
      <c r="E12" s="13" t="s">
        <v>1623</v>
      </c>
      <c r="F12" s="17" t="s">
        <v>5</v>
      </c>
    </row>
    <row r="13" spans="1:10" x14ac:dyDescent="0.35">
      <c r="A13" s="16" t="s">
        <v>1624</v>
      </c>
      <c r="B13" s="13" t="s">
        <v>263</v>
      </c>
      <c r="C13" s="13" t="s">
        <v>85</v>
      </c>
      <c r="D13" s="13" t="s">
        <v>1623</v>
      </c>
      <c r="E13" s="13" t="s">
        <v>1623</v>
      </c>
      <c r="F13" s="17" t="s">
        <v>5</v>
      </c>
    </row>
    <row r="14" spans="1:10" x14ac:dyDescent="0.35">
      <c r="A14" s="16" t="s">
        <v>1625</v>
      </c>
      <c r="B14" s="13" t="s">
        <v>266</v>
      </c>
      <c r="C14" s="13" t="s">
        <v>85</v>
      </c>
      <c r="D14" s="13" t="s">
        <v>1626</v>
      </c>
      <c r="E14" s="13" t="s">
        <v>1626</v>
      </c>
      <c r="F14" s="17" t="s">
        <v>5</v>
      </c>
    </row>
    <row r="15" spans="1:10" x14ac:dyDescent="0.35">
      <c r="A15" s="16" t="s">
        <v>1627</v>
      </c>
      <c r="B15" s="13" t="s">
        <v>269</v>
      </c>
      <c r="C15" s="13" t="s">
        <v>85</v>
      </c>
      <c r="D15" s="13" t="s">
        <v>1628</v>
      </c>
      <c r="E15" s="13" t="s">
        <v>1628</v>
      </c>
      <c r="F15" s="17" t="s">
        <v>5</v>
      </c>
    </row>
    <row r="16" spans="1:10" x14ac:dyDescent="0.35">
      <c r="A16" s="16" t="s">
        <v>1629</v>
      </c>
      <c r="B16" s="13" t="s">
        <v>85</v>
      </c>
      <c r="C16" s="13" t="s">
        <v>1630</v>
      </c>
      <c r="D16" s="13" t="s">
        <v>1628</v>
      </c>
      <c r="E16" s="13" t="s">
        <v>1628</v>
      </c>
      <c r="F16" s="17" t="s">
        <v>5</v>
      </c>
    </row>
    <row r="17" spans="1:6" x14ac:dyDescent="0.35">
      <c r="A17" s="16" t="s">
        <v>1631</v>
      </c>
      <c r="B17" s="13" t="s">
        <v>1632</v>
      </c>
      <c r="C17" s="13" t="s">
        <v>1633</v>
      </c>
      <c r="D17" s="13" t="s">
        <v>1628</v>
      </c>
      <c r="E17" s="13" t="s">
        <v>1628</v>
      </c>
      <c r="F17" s="17" t="s">
        <v>5</v>
      </c>
    </row>
    <row r="18" spans="1:6" ht="46.5" x14ac:dyDescent="0.35">
      <c r="A18" s="16" t="s">
        <v>1634</v>
      </c>
      <c r="B18" s="13" t="s">
        <v>1635</v>
      </c>
      <c r="C18" s="13" t="s">
        <v>1636</v>
      </c>
      <c r="D18" s="13" t="s">
        <v>1637</v>
      </c>
      <c r="E18" s="13" t="s">
        <v>1637</v>
      </c>
      <c r="F18" s="17" t="s">
        <v>5</v>
      </c>
    </row>
  </sheetData>
  <mergeCells count="11">
    <mergeCell ref="A1:F1"/>
    <mergeCell ref="B3:D3"/>
    <mergeCell ref="B4:D4"/>
    <mergeCell ref="B5:D5"/>
    <mergeCell ref="B6:F6"/>
    <mergeCell ref="B7:F7"/>
    <mergeCell ref="A9:A10"/>
    <mergeCell ref="B9:C9"/>
    <mergeCell ref="D9:D10"/>
    <mergeCell ref="E9:E10"/>
    <mergeCell ref="F9:F10"/>
  </mergeCells>
  <conditionalFormatting sqref="F11:F18">
    <cfRule type="cellIs" dxfId="20" priority="1" operator="equal">
      <formula>"Pass"</formula>
    </cfRule>
    <cfRule type="cellIs" dxfId="19" priority="2" operator="equal">
      <formula>"Fail"</formula>
    </cfRule>
    <cfRule type="cellIs" dxfId="18" priority="3" operator="equal">
      <formula>"Block"</formula>
    </cfRule>
  </conditionalFormatting>
  <dataValidations count="1">
    <dataValidation type="list" allowBlank="1" sqref="F11:F18" xr:uid="{7ECAD631-07CF-4A0E-ADD5-FF678AD3727C}">
      <formula1>"Pass,Fail,No run,Block"</formula1>
      <formula2>0</formula2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F878-C7E6-4CC9-A5F2-128B26A231A3}">
  <dimension ref="A1:I26"/>
  <sheetViews>
    <sheetView topLeftCell="A6" workbookViewId="0">
      <selection activeCell="I12" sqref="I12:I13"/>
    </sheetView>
  </sheetViews>
  <sheetFormatPr defaultColWidth="16" defaultRowHeight="23.25" x14ac:dyDescent="0.35"/>
  <cols>
    <col min="1" max="4" width="16" style="8"/>
    <col min="5" max="5" width="32" style="8" customWidth="1"/>
    <col min="6" max="16384" width="16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1638</v>
      </c>
      <c r="C4" s="31"/>
      <c r="E4" s="11" t="s">
        <v>21</v>
      </c>
      <c r="F4" s="31" t="s">
        <v>1639</v>
      </c>
      <c r="G4" s="31"/>
      <c r="H4" s="31"/>
      <c r="I4" s="31"/>
    </row>
    <row r="5" spans="1:9" ht="24" thickBot="1" x14ac:dyDescent="0.4">
      <c r="E5" s="11" t="s">
        <v>25</v>
      </c>
      <c r="F5" s="31" t="s">
        <v>1640</v>
      </c>
      <c r="G5" s="31"/>
      <c r="H5" s="31"/>
      <c r="I5" s="31"/>
    </row>
    <row r="6" spans="1:9" ht="24" thickBot="1" x14ac:dyDescent="0.4">
      <c r="E6" s="11" t="s">
        <v>29</v>
      </c>
      <c r="F6" s="31" t="s">
        <v>1641</v>
      </c>
      <c r="G6" s="31"/>
      <c r="H6" s="31"/>
      <c r="I6" s="31"/>
    </row>
    <row r="7" spans="1:9" ht="24" thickBot="1" x14ac:dyDescent="0.4">
      <c r="E7" s="11" t="s">
        <v>33</v>
      </c>
      <c r="F7" s="31" t="s">
        <v>1642</v>
      </c>
      <c r="G7" s="31"/>
      <c r="H7" s="31"/>
      <c r="I7" s="31"/>
    </row>
    <row r="8" spans="1:9" ht="24" thickBot="1" x14ac:dyDescent="0.4">
      <c r="E8" s="11" t="s">
        <v>37</v>
      </c>
      <c r="F8" s="31" t="s">
        <v>1643</v>
      </c>
      <c r="G8" s="31"/>
      <c r="H8" s="31"/>
      <c r="I8" s="31"/>
    </row>
    <row r="10" spans="1:9" x14ac:dyDescent="0.35">
      <c r="A10" s="30" t="s">
        <v>57</v>
      </c>
      <c r="B10" s="30"/>
      <c r="C10" s="30"/>
      <c r="D10" s="30"/>
      <c r="E10" s="30"/>
      <c r="F10" s="30"/>
      <c r="G10" s="30"/>
      <c r="H10" s="30"/>
      <c r="I10" s="30"/>
    </row>
    <row r="12" spans="1:9" x14ac:dyDescent="0.35">
      <c r="A12" s="12" t="s">
        <v>58</v>
      </c>
      <c r="B12" s="28" t="s">
        <v>1644</v>
      </c>
      <c r="C12" s="28"/>
      <c r="D12" s="28"/>
      <c r="E12" s="21"/>
      <c r="F12" s="21"/>
      <c r="G12" s="21"/>
      <c r="H12" s="12" t="s">
        <v>60</v>
      </c>
      <c r="I12" s="14" t="s">
        <v>154</v>
      </c>
    </row>
    <row r="13" spans="1:9" x14ac:dyDescent="0.35">
      <c r="A13" s="12" t="s">
        <v>61</v>
      </c>
      <c r="B13" s="28" t="s">
        <v>62</v>
      </c>
      <c r="C13" s="28"/>
      <c r="D13" s="28"/>
      <c r="E13" s="21"/>
      <c r="F13" s="21"/>
      <c r="G13" s="21"/>
      <c r="H13" s="12" t="s">
        <v>63</v>
      </c>
      <c r="I13" s="14" t="s">
        <v>156</v>
      </c>
    </row>
    <row r="14" spans="1:9" ht="46.5" x14ac:dyDescent="0.35">
      <c r="A14" s="12" t="s">
        <v>64</v>
      </c>
      <c r="B14" s="36" t="s">
        <v>65</v>
      </c>
      <c r="C14" s="37"/>
      <c r="D14" s="37"/>
      <c r="E14" s="37"/>
      <c r="F14" s="37"/>
      <c r="G14" s="38"/>
      <c r="H14" s="12" t="s">
        <v>66</v>
      </c>
      <c r="I14" s="13" t="s">
        <v>67</v>
      </c>
    </row>
    <row r="15" spans="1:9" ht="46.5" x14ac:dyDescent="0.35">
      <c r="A15" s="12" t="s">
        <v>68</v>
      </c>
      <c r="B15" s="28" t="s">
        <v>1645</v>
      </c>
      <c r="C15" s="28"/>
      <c r="D15" s="28"/>
      <c r="E15" s="28"/>
      <c r="F15" s="28"/>
      <c r="G15" s="28"/>
      <c r="H15" s="28"/>
      <c r="I15" s="28"/>
    </row>
    <row r="16" spans="1:9" ht="46.5" x14ac:dyDescent="0.35">
      <c r="A16" s="12" t="s">
        <v>70</v>
      </c>
      <c r="B16" s="28" t="s">
        <v>1646</v>
      </c>
      <c r="C16" s="28"/>
      <c r="D16" s="28"/>
      <c r="E16" s="28"/>
      <c r="F16" s="28"/>
      <c r="G16" s="28"/>
      <c r="H16" s="28"/>
      <c r="I16" s="28"/>
    </row>
    <row r="18" spans="1:6" x14ac:dyDescent="0.35">
      <c r="A18" s="29" t="s">
        <v>72</v>
      </c>
      <c r="B18" s="29" t="s">
        <v>73</v>
      </c>
      <c r="C18" s="29"/>
      <c r="D18" s="29" t="s">
        <v>74</v>
      </c>
      <c r="E18" s="29" t="s">
        <v>75</v>
      </c>
      <c r="F18" s="29" t="s">
        <v>76</v>
      </c>
    </row>
    <row r="19" spans="1:6" x14ac:dyDescent="0.35">
      <c r="A19" s="29"/>
      <c r="B19" s="15" t="s">
        <v>1647</v>
      </c>
      <c r="C19" s="15" t="s">
        <v>803</v>
      </c>
      <c r="D19" s="29"/>
      <c r="E19" s="29"/>
      <c r="F19" s="29"/>
    </row>
    <row r="20" spans="1:6" ht="46.5" x14ac:dyDescent="0.35">
      <c r="A20" s="16" t="s">
        <v>1648</v>
      </c>
      <c r="B20" s="13" t="s">
        <v>1649</v>
      </c>
      <c r="C20" s="13" t="s">
        <v>1650</v>
      </c>
      <c r="D20" s="13" t="s">
        <v>1651</v>
      </c>
      <c r="E20" s="13" t="b">
        <v>1</v>
      </c>
      <c r="F20" s="17" t="s">
        <v>5</v>
      </c>
    </row>
    <row r="21" spans="1:6" ht="69.75" x14ac:dyDescent="0.35">
      <c r="A21" s="16" t="s">
        <v>1652</v>
      </c>
      <c r="B21" s="13" t="s">
        <v>1649</v>
      </c>
      <c r="C21" s="13" t="s">
        <v>1653</v>
      </c>
      <c r="D21" s="13" t="s">
        <v>1654</v>
      </c>
      <c r="E21" s="13" t="s">
        <v>1670</v>
      </c>
      <c r="F21" s="17" t="s">
        <v>5</v>
      </c>
    </row>
    <row r="22" spans="1:6" ht="69.75" x14ac:dyDescent="0.35">
      <c r="A22" s="16" t="s">
        <v>1655</v>
      </c>
      <c r="B22" s="13" t="s">
        <v>1656</v>
      </c>
      <c r="C22" s="13" t="s">
        <v>1650</v>
      </c>
      <c r="D22" s="13" t="s">
        <v>1657</v>
      </c>
      <c r="E22" s="13" t="s">
        <v>1671</v>
      </c>
      <c r="F22" s="17" t="s">
        <v>5</v>
      </c>
    </row>
    <row r="23" spans="1:6" ht="46.5" x14ac:dyDescent="0.35">
      <c r="A23" s="16" t="s">
        <v>1658</v>
      </c>
      <c r="B23" s="13" t="s">
        <v>1659</v>
      </c>
      <c r="C23" s="13" t="s">
        <v>1650</v>
      </c>
      <c r="D23" s="13" t="s">
        <v>1660</v>
      </c>
      <c r="E23" s="13" t="b">
        <v>0</v>
      </c>
      <c r="F23" s="17" t="s">
        <v>5</v>
      </c>
    </row>
    <row r="24" spans="1:6" ht="69.75" x14ac:dyDescent="0.35">
      <c r="A24" s="16" t="s">
        <v>1661</v>
      </c>
      <c r="B24" s="13" t="s">
        <v>1662</v>
      </c>
      <c r="C24" s="13" t="s">
        <v>1650</v>
      </c>
      <c r="D24" s="13" t="s">
        <v>1068</v>
      </c>
      <c r="E24" s="13" t="b">
        <v>0</v>
      </c>
      <c r="F24" s="17" t="s">
        <v>5</v>
      </c>
    </row>
    <row r="25" spans="1:6" x14ac:dyDescent="0.35">
      <c r="A25" s="16" t="s">
        <v>1663</v>
      </c>
      <c r="B25" s="13" t="s">
        <v>1664</v>
      </c>
      <c r="C25" s="13" t="s">
        <v>1650</v>
      </c>
      <c r="D25" s="13" t="s">
        <v>1000</v>
      </c>
      <c r="E25" s="13" t="b">
        <v>0</v>
      </c>
      <c r="F25" s="17" t="s">
        <v>5</v>
      </c>
    </row>
    <row r="26" spans="1:6" x14ac:dyDescent="0.35">
      <c r="A26" s="16" t="s">
        <v>1665</v>
      </c>
      <c r="B26" s="13" t="s">
        <v>1666</v>
      </c>
      <c r="C26" s="13" t="s">
        <v>1650</v>
      </c>
      <c r="D26" s="13" t="s">
        <v>1667</v>
      </c>
      <c r="E26" s="13" t="b">
        <v>0</v>
      </c>
      <c r="F26" s="17" t="s">
        <v>5</v>
      </c>
    </row>
  </sheetData>
  <mergeCells count="21">
    <mergeCell ref="B12:D12"/>
    <mergeCell ref="A1:I1"/>
    <mergeCell ref="E2:F2"/>
    <mergeCell ref="B3:C3"/>
    <mergeCell ref="F3:I3"/>
    <mergeCell ref="B4:C4"/>
    <mergeCell ref="F4:I4"/>
    <mergeCell ref="F5:I5"/>
    <mergeCell ref="F6:I6"/>
    <mergeCell ref="F7:I7"/>
    <mergeCell ref="F8:I8"/>
    <mergeCell ref="A10:I10"/>
    <mergeCell ref="B14:G14"/>
    <mergeCell ref="B13:D13"/>
    <mergeCell ref="B15:I15"/>
    <mergeCell ref="B16:I16"/>
    <mergeCell ref="A18:A19"/>
    <mergeCell ref="B18:C18"/>
    <mergeCell ref="D18:D19"/>
    <mergeCell ref="E18:E19"/>
    <mergeCell ref="F18:F19"/>
  </mergeCells>
  <conditionalFormatting sqref="F20:F26">
    <cfRule type="cellIs" dxfId="17" priority="1" operator="equal">
      <formula>"Pass"</formula>
    </cfRule>
    <cfRule type="cellIs" dxfId="16" priority="2" operator="equal">
      <formula>"Fail"</formula>
    </cfRule>
    <cfRule type="cellIs" dxfId="15" priority="3" operator="equal">
      <formula>"Block"</formula>
    </cfRule>
  </conditionalFormatting>
  <dataValidations count="1">
    <dataValidation type="list" allowBlank="1" sqref="F20:F26" xr:uid="{9AA52BE7-8579-4E4A-AC94-AE3F037312CB}">
      <formula1>"Pass,Fail,No run,Block"</formula1>
      <formula2>0</formula2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814A-D9A7-4110-82AF-A5280D96BAD0}">
  <dimension ref="A1:I25"/>
  <sheetViews>
    <sheetView topLeftCell="A18" workbookViewId="0">
      <selection activeCell="E25" sqref="E25"/>
    </sheetView>
  </sheetViews>
  <sheetFormatPr defaultColWidth="7.625" defaultRowHeight="23.25" x14ac:dyDescent="0.35"/>
  <cols>
    <col min="1" max="1" width="19.25" style="8" customWidth="1"/>
    <col min="2" max="3" width="17.5" style="8" customWidth="1"/>
    <col min="4" max="4" width="40.25" style="8" customWidth="1"/>
    <col min="5" max="5" width="31.25" style="8" customWidth="1"/>
    <col min="6" max="6" width="14.875" style="8" customWidth="1"/>
    <col min="7" max="8" width="12.25" style="8" customWidth="1"/>
    <col min="9" max="9" width="16.12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1678</v>
      </c>
      <c r="C4" s="31"/>
      <c r="E4" s="11" t="s">
        <v>21</v>
      </c>
      <c r="F4" s="31" t="s">
        <v>1679</v>
      </c>
      <c r="G4" s="31"/>
      <c r="H4" s="31"/>
      <c r="I4" s="31"/>
    </row>
    <row r="5" spans="1:9" ht="24" thickBot="1" x14ac:dyDescent="0.4">
      <c r="A5" s="11" t="s">
        <v>23</v>
      </c>
      <c r="B5" s="31" t="s">
        <v>1680</v>
      </c>
      <c r="C5" s="31"/>
      <c r="E5" s="11" t="s">
        <v>25</v>
      </c>
      <c r="F5" s="31" t="s">
        <v>1681</v>
      </c>
      <c r="G5" s="31"/>
      <c r="H5" s="31"/>
      <c r="I5" s="31"/>
    </row>
    <row r="6" spans="1:9" ht="24" thickBot="1" x14ac:dyDescent="0.4">
      <c r="A6" s="11" t="s">
        <v>27</v>
      </c>
      <c r="B6" s="31" t="s">
        <v>1682</v>
      </c>
      <c r="C6" s="31"/>
      <c r="E6" s="11" t="s">
        <v>29</v>
      </c>
      <c r="F6" s="31" t="s">
        <v>1683</v>
      </c>
      <c r="G6" s="31"/>
      <c r="H6" s="31"/>
      <c r="I6" s="31"/>
    </row>
    <row r="7" spans="1:9" ht="24" thickBot="1" x14ac:dyDescent="0.4">
      <c r="A7" s="11" t="s">
        <v>31</v>
      </c>
      <c r="B7" s="31" t="s">
        <v>1684</v>
      </c>
      <c r="C7" s="31"/>
    </row>
    <row r="9" spans="1:9" x14ac:dyDescent="0.35">
      <c r="A9" s="30" t="s">
        <v>57</v>
      </c>
      <c r="B9" s="30"/>
      <c r="C9" s="30"/>
      <c r="D9" s="30"/>
      <c r="E9" s="30"/>
      <c r="F9" s="30"/>
      <c r="G9" s="30"/>
      <c r="H9" s="30"/>
      <c r="I9" s="30"/>
    </row>
    <row r="11" spans="1:9" x14ac:dyDescent="0.35">
      <c r="A11" s="12" t="s">
        <v>58</v>
      </c>
      <c r="B11" s="28" t="s">
        <v>1685</v>
      </c>
      <c r="C11" s="28"/>
      <c r="D11" s="28"/>
      <c r="E11" s="21"/>
      <c r="F11" s="21"/>
      <c r="G11" s="21"/>
      <c r="H11" s="12" t="s">
        <v>60</v>
      </c>
      <c r="I11" s="14" t="s">
        <v>154</v>
      </c>
    </row>
    <row r="12" spans="1:9" x14ac:dyDescent="0.35">
      <c r="A12" s="12" t="s">
        <v>61</v>
      </c>
      <c r="B12" s="28" t="s">
        <v>62</v>
      </c>
      <c r="C12" s="28"/>
      <c r="D12" s="28"/>
      <c r="E12" s="21"/>
      <c r="F12" s="21"/>
      <c r="G12" s="21"/>
      <c r="H12" s="12" t="s">
        <v>63</v>
      </c>
      <c r="I12" s="14" t="s">
        <v>156</v>
      </c>
    </row>
    <row r="13" spans="1:9" ht="46.5" x14ac:dyDescent="0.35">
      <c r="A13" s="12" t="s">
        <v>64</v>
      </c>
      <c r="B13" s="28" t="s">
        <v>65</v>
      </c>
      <c r="C13" s="28"/>
      <c r="D13" s="28"/>
      <c r="E13" s="21"/>
      <c r="F13" s="21"/>
      <c r="G13" s="21"/>
      <c r="H13" s="12" t="s">
        <v>66</v>
      </c>
      <c r="I13" s="13" t="s">
        <v>67</v>
      </c>
    </row>
    <row r="14" spans="1:9" ht="46.5" x14ac:dyDescent="0.35">
      <c r="A14" s="12" t="s">
        <v>68</v>
      </c>
      <c r="B14" s="28" t="s">
        <v>1686</v>
      </c>
      <c r="C14" s="28"/>
      <c r="D14" s="28"/>
      <c r="E14" s="28"/>
      <c r="F14" s="28"/>
      <c r="G14" s="28"/>
      <c r="H14" s="28"/>
      <c r="I14" s="28"/>
    </row>
    <row r="15" spans="1:9" ht="46.5" x14ac:dyDescent="0.35">
      <c r="A15" s="12" t="s">
        <v>70</v>
      </c>
      <c r="B15" s="28" t="s">
        <v>1687</v>
      </c>
      <c r="C15" s="28"/>
      <c r="D15" s="28"/>
      <c r="E15" s="28"/>
      <c r="F15" s="28"/>
      <c r="G15" s="28"/>
      <c r="H15" s="28"/>
      <c r="I15" s="28"/>
    </row>
    <row r="17" spans="1:6" x14ac:dyDescent="0.35">
      <c r="A17" s="29" t="s">
        <v>72</v>
      </c>
      <c r="B17" s="29" t="s">
        <v>73</v>
      </c>
      <c r="C17" s="29"/>
      <c r="D17" s="29" t="s">
        <v>74</v>
      </c>
      <c r="E17" s="29" t="s">
        <v>75</v>
      </c>
      <c r="F17" s="29" t="s">
        <v>76</v>
      </c>
    </row>
    <row r="18" spans="1:6" x14ac:dyDescent="0.35">
      <c r="A18" s="29"/>
      <c r="B18" s="15" t="s">
        <v>803</v>
      </c>
      <c r="C18" s="15" t="s">
        <v>1045</v>
      </c>
      <c r="D18" s="29"/>
      <c r="E18" s="29"/>
      <c r="F18" s="29"/>
    </row>
    <row r="19" spans="1:6" ht="46.5" x14ac:dyDescent="0.35">
      <c r="A19" s="16" t="s">
        <v>1688</v>
      </c>
      <c r="B19" s="13" t="s">
        <v>1689</v>
      </c>
      <c r="C19" s="13" t="s">
        <v>1690</v>
      </c>
      <c r="D19" s="13" t="s">
        <v>1691</v>
      </c>
      <c r="E19" s="13" t="s">
        <v>1824</v>
      </c>
      <c r="F19" s="17" t="s">
        <v>5</v>
      </c>
    </row>
    <row r="20" spans="1:6" ht="46.5" x14ac:dyDescent="0.35">
      <c r="A20" s="16" t="s">
        <v>1692</v>
      </c>
      <c r="B20" s="13" t="s">
        <v>1693</v>
      </c>
      <c r="C20" s="13" t="s">
        <v>1694</v>
      </c>
      <c r="D20" s="13" t="s">
        <v>1695</v>
      </c>
      <c r="E20" s="13" t="s">
        <v>1825</v>
      </c>
      <c r="F20" s="17" t="s">
        <v>5</v>
      </c>
    </row>
    <row r="21" spans="1:6" x14ac:dyDescent="0.35">
      <c r="A21" s="16" t="s">
        <v>1696</v>
      </c>
      <c r="B21" s="13" t="s">
        <v>1697</v>
      </c>
      <c r="C21" s="13" t="s">
        <v>85</v>
      </c>
      <c r="D21" s="13" t="s">
        <v>1698</v>
      </c>
      <c r="E21" s="13" t="s">
        <v>1826</v>
      </c>
      <c r="F21" s="17" t="s">
        <v>5</v>
      </c>
    </row>
    <row r="22" spans="1:6" ht="46.5" x14ac:dyDescent="0.35">
      <c r="A22" s="16" t="s">
        <v>1699</v>
      </c>
      <c r="B22" s="13" t="s">
        <v>1700</v>
      </c>
      <c r="C22" s="13" t="s">
        <v>85</v>
      </c>
      <c r="D22" s="13" t="s">
        <v>1701</v>
      </c>
      <c r="E22" s="13" t="s">
        <v>1827</v>
      </c>
      <c r="F22" s="17" t="s">
        <v>5</v>
      </c>
    </row>
    <row r="23" spans="1:6" ht="46.5" x14ac:dyDescent="0.35">
      <c r="A23" s="16" t="s">
        <v>1702</v>
      </c>
      <c r="B23" s="13" t="s">
        <v>1689</v>
      </c>
      <c r="C23" s="13" t="s">
        <v>1703</v>
      </c>
      <c r="D23" s="13" t="s">
        <v>1704</v>
      </c>
      <c r="E23" s="13" t="s">
        <v>201</v>
      </c>
      <c r="F23" s="17" t="s">
        <v>5</v>
      </c>
    </row>
    <row r="24" spans="1:6" ht="46.5" x14ac:dyDescent="0.35">
      <c r="A24" s="16" t="s">
        <v>1705</v>
      </c>
      <c r="B24" s="13" t="s">
        <v>1693</v>
      </c>
      <c r="C24" s="13" t="s">
        <v>1706</v>
      </c>
      <c r="D24" s="13" t="s">
        <v>1707</v>
      </c>
      <c r="E24" s="13" t="s">
        <v>201</v>
      </c>
      <c r="F24" s="17" t="s">
        <v>5</v>
      </c>
    </row>
    <row r="25" spans="1:6" ht="69.75" x14ac:dyDescent="0.35">
      <c r="A25" s="16" t="s">
        <v>1708</v>
      </c>
      <c r="B25" s="13" t="s">
        <v>1709</v>
      </c>
      <c r="C25" s="13" t="s">
        <v>85</v>
      </c>
      <c r="D25" s="13" t="s">
        <v>1710</v>
      </c>
      <c r="E25" s="13" t="s">
        <v>99</v>
      </c>
      <c r="F25" s="17" t="s">
        <v>5</v>
      </c>
    </row>
  </sheetData>
  <mergeCells count="22">
    <mergeCell ref="A9:I9"/>
    <mergeCell ref="A1:I1"/>
    <mergeCell ref="E2:F2"/>
    <mergeCell ref="B3:C3"/>
    <mergeCell ref="F3:I3"/>
    <mergeCell ref="B4:C4"/>
    <mergeCell ref="F4:I4"/>
    <mergeCell ref="B5:C5"/>
    <mergeCell ref="F5:I5"/>
    <mergeCell ref="B6:C6"/>
    <mergeCell ref="F6:I6"/>
    <mergeCell ref="B7:C7"/>
    <mergeCell ref="B11:D11"/>
    <mergeCell ref="B12:D12"/>
    <mergeCell ref="B13:D13"/>
    <mergeCell ref="B14:I14"/>
    <mergeCell ref="B15:I15"/>
    <mergeCell ref="A17:A18"/>
    <mergeCell ref="B17:C17"/>
    <mergeCell ref="D17:D18"/>
    <mergeCell ref="E17:E18"/>
    <mergeCell ref="F17:F18"/>
  </mergeCells>
  <conditionalFormatting sqref="F19:F25">
    <cfRule type="cellIs" dxfId="14" priority="1" operator="equal">
      <formula>"Pass"</formula>
    </cfRule>
    <cfRule type="cellIs" dxfId="13" priority="2" operator="equal">
      <formula>"Fail"</formula>
    </cfRule>
    <cfRule type="cellIs" dxfId="12" priority="3" operator="equal">
      <formula>"Block"</formula>
    </cfRule>
  </conditionalFormatting>
  <dataValidations count="1">
    <dataValidation type="list" allowBlank="1" sqref="F19:F25" xr:uid="{FDAF44D4-F146-4074-9EFE-1FC8114DE863}">
      <formula1>"Pass,Fail,No run,Block"</formula1>
      <formula2>0</formula2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130A7-1DE5-43F5-BD16-6323B63E7DA0}">
  <dimension ref="A1:I28"/>
  <sheetViews>
    <sheetView topLeftCell="A16" workbookViewId="0">
      <selection activeCell="F28" sqref="F28"/>
    </sheetView>
  </sheetViews>
  <sheetFormatPr defaultColWidth="7.625" defaultRowHeight="23.25" x14ac:dyDescent="0.35"/>
  <cols>
    <col min="1" max="1" width="19.25" style="8" customWidth="1"/>
    <col min="2" max="4" width="15.75" style="8" customWidth="1"/>
    <col min="5" max="5" width="36.75" style="8" customWidth="1"/>
    <col min="6" max="6" width="30.5" style="8" customWidth="1"/>
    <col min="7" max="7" width="14.875" style="8" customWidth="1"/>
    <col min="8" max="8" width="12.25" style="8" customWidth="1"/>
    <col min="9" max="9" width="15.5" style="8" customWidth="1"/>
    <col min="10" max="16384" width="7.625" style="8"/>
  </cols>
  <sheetData>
    <row r="1" spans="1:9" ht="24" thickBot="1" x14ac:dyDescent="0.4">
      <c r="A1" s="32" t="s">
        <v>14</v>
      </c>
      <c r="B1" s="32"/>
      <c r="C1" s="32"/>
      <c r="D1" s="32"/>
      <c r="E1" s="32"/>
      <c r="F1" s="32"/>
      <c r="G1" s="32"/>
      <c r="H1" s="32"/>
      <c r="I1" s="32"/>
    </row>
    <row r="2" spans="1:9" ht="24" thickBot="1" x14ac:dyDescent="0.4">
      <c r="A2" s="9" t="s">
        <v>15</v>
      </c>
      <c r="E2" s="33" t="s">
        <v>16</v>
      </c>
      <c r="F2" s="33"/>
    </row>
    <row r="3" spans="1:9" ht="24" thickBot="1" x14ac:dyDescent="0.4">
      <c r="A3" s="10" t="s">
        <v>17</v>
      </c>
      <c r="B3" s="34" t="s">
        <v>18</v>
      </c>
      <c r="C3" s="34"/>
      <c r="E3" s="10" t="s">
        <v>17</v>
      </c>
      <c r="F3" s="34" t="s">
        <v>18</v>
      </c>
      <c r="G3" s="34"/>
      <c r="H3" s="34"/>
      <c r="I3" s="34"/>
    </row>
    <row r="4" spans="1:9" ht="24" thickBot="1" x14ac:dyDescent="0.4">
      <c r="A4" s="11" t="s">
        <v>19</v>
      </c>
      <c r="B4" s="31" t="s">
        <v>1711</v>
      </c>
      <c r="C4" s="31"/>
      <c r="E4" s="11" t="s">
        <v>21</v>
      </c>
      <c r="F4" s="31" t="s">
        <v>1712</v>
      </c>
      <c r="G4" s="31"/>
      <c r="H4" s="31"/>
      <c r="I4" s="31"/>
    </row>
    <row r="5" spans="1:9" ht="24" thickBot="1" x14ac:dyDescent="0.4">
      <c r="A5" s="11" t="s">
        <v>23</v>
      </c>
      <c r="B5" s="31" t="s">
        <v>1713</v>
      </c>
      <c r="C5" s="31"/>
      <c r="E5" s="11" t="s">
        <v>25</v>
      </c>
      <c r="F5" s="31" t="s">
        <v>1714</v>
      </c>
      <c r="G5" s="31"/>
      <c r="H5" s="31"/>
      <c r="I5" s="31"/>
    </row>
    <row r="6" spans="1:9" ht="24" thickBot="1" x14ac:dyDescent="0.4">
      <c r="A6" s="11" t="s">
        <v>27</v>
      </c>
      <c r="B6" s="31" t="s">
        <v>1715</v>
      </c>
      <c r="C6" s="31"/>
      <c r="E6" s="11" t="s">
        <v>29</v>
      </c>
      <c r="F6" s="31" t="s">
        <v>1716</v>
      </c>
      <c r="G6" s="31"/>
      <c r="H6" s="31"/>
      <c r="I6" s="31"/>
    </row>
    <row r="7" spans="1:9" ht="24" thickBot="1" x14ac:dyDescent="0.4">
      <c r="A7" s="11" t="s">
        <v>31</v>
      </c>
      <c r="B7" s="31" t="s">
        <v>1717</v>
      </c>
      <c r="C7" s="31"/>
      <c r="E7" s="11" t="s">
        <v>33</v>
      </c>
      <c r="F7" s="31" t="s">
        <v>1718</v>
      </c>
      <c r="G7" s="31"/>
      <c r="H7" s="31"/>
      <c r="I7" s="31"/>
    </row>
    <row r="8" spans="1:9" ht="24" thickBot="1" x14ac:dyDescent="0.4">
      <c r="E8" s="11" t="s">
        <v>37</v>
      </c>
      <c r="F8" s="31" t="s">
        <v>1719</v>
      </c>
      <c r="G8" s="31"/>
      <c r="H8" s="31"/>
      <c r="I8" s="31"/>
    </row>
    <row r="10" spans="1:9" x14ac:dyDescent="0.35">
      <c r="A10" s="30" t="s">
        <v>57</v>
      </c>
      <c r="B10" s="30"/>
      <c r="C10" s="30"/>
      <c r="D10" s="30"/>
      <c r="E10" s="30"/>
      <c r="F10" s="30"/>
      <c r="G10" s="30"/>
      <c r="H10" s="30"/>
      <c r="I10" s="30"/>
    </row>
    <row r="12" spans="1:9" x14ac:dyDescent="0.35">
      <c r="A12" s="12" t="s">
        <v>58</v>
      </c>
      <c r="B12" s="28" t="s">
        <v>1720</v>
      </c>
      <c r="C12" s="28"/>
      <c r="D12" s="28"/>
      <c r="E12" s="28"/>
      <c r="F12" s="21"/>
      <c r="G12" s="21"/>
      <c r="H12" s="12" t="s">
        <v>60</v>
      </c>
      <c r="I12" s="14" t="s">
        <v>154</v>
      </c>
    </row>
    <row r="13" spans="1:9" x14ac:dyDescent="0.35">
      <c r="A13" s="12" t="s">
        <v>61</v>
      </c>
      <c r="B13" s="28" t="s">
        <v>1721</v>
      </c>
      <c r="C13" s="28"/>
      <c r="D13" s="28"/>
      <c r="E13" s="28"/>
      <c r="F13" s="21"/>
      <c r="G13" s="21"/>
      <c r="H13" s="12" t="s">
        <v>63</v>
      </c>
      <c r="I13" s="14" t="s">
        <v>156</v>
      </c>
    </row>
    <row r="14" spans="1:9" ht="46.5" x14ac:dyDescent="0.35">
      <c r="A14" s="12" t="s">
        <v>64</v>
      </c>
      <c r="B14" s="28" t="s">
        <v>65</v>
      </c>
      <c r="C14" s="28"/>
      <c r="D14" s="28"/>
      <c r="E14" s="28"/>
      <c r="F14" s="21"/>
      <c r="G14" s="21"/>
      <c r="H14" s="12" t="s">
        <v>66</v>
      </c>
      <c r="I14" s="13" t="s">
        <v>67</v>
      </c>
    </row>
    <row r="15" spans="1:9" ht="46.5" x14ac:dyDescent="0.35">
      <c r="A15" s="12" t="s">
        <v>68</v>
      </c>
      <c r="B15" s="28" t="s">
        <v>1722</v>
      </c>
      <c r="C15" s="28"/>
      <c r="D15" s="28"/>
      <c r="E15" s="28"/>
      <c r="F15" s="28"/>
      <c r="G15" s="28"/>
      <c r="H15" s="28"/>
      <c r="I15" s="28"/>
    </row>
    <row r="16" spans="1:9" ht="46.5" x14ac:dyDescent="0.35">
      <c r="A16" s="12" t="s">
        <v>70</v>
      </c>
      <c r="B16" s="28" t="s">
        <v>1723</v>
      </c>
      <c r="C16" s="28"/>
      <c r="D16" s="28"/>
      <c r="E16" s="28"/>
      <c r="F16" s="28"/>
      <c r="G16" s="28"/>
      <c r="H16" s="28"/>
      <c r="I16" s="28"/>
    </row>
    <row r="18" spans="1:7" x14ac:dyDescent="0.35">
      <c r="A18" s="29" t="s">
        <v>72</v>
      </c>
      <c r="B18" s="29" t="s">
        <v>73</v>
      </c>
      <c r="C18" s="29"/>
      <c r="D18" s="29"/>
      <c r="E18" s="29" t="s">
        <v>74</v>
      </c>
      <c r="F18" s="29" t="s">
        <v>75</v>
      </c>
      <c r="G18" s="29" t="s">
        <v>76</v>
      </c>
    </row>
    <row r="19" spans="1:7" ht="46.5" x14ac:dyDescent="0.35">
      <c r="A19" s="29"/>
      <c r="B19" s="15" t="s">
        <v>803</v>
      </c>
      <c r="C19" s="15" t="s">
        <v>1724</v>
      </c>
      <c r="D19" s="15" t="s">
        <v>1725</v>
      </c>
      <c r="E19" s="29"/>
      <c r="F19" s="29"/>
      <c r="G19" s="29"/>
    </row>
    <row r="20" spans="1:7" ht="46.5" x14ac:dyDescent="0.35">
      <c r="A20" s="16" t="s">
        <v>1726</v>
      </c>
      <c r="B20" s="13" t="s">
        <v>1727</v>
      </c>
      <c r="C20" s="13" t="s">
        <v>1728</v>
      </c>
      <c r="D20" s="13" t="s">
        <v>1729</v>
      </c>
      <c r="E20" s="13" t="s">
        <v>1730</v>
      </c>
      <c r="F20" s="13" t="s">
        <v>1828</v>
      </c>
      <c r="G20" s="17" t="s">
        <v>5</v>
      </c>
    </row>
    <row r="21" spans="1:7" x14ac:dyDescent="0.35">
      <c r="A21" s="16" t="s">
        <v>1731</v>
      </c>
      <c r="B21" s="13" t="s">
        <v>1727</v>
      </c>
      <c r="C21" s="13" t="s">
        <v>1732</v>
      </c>
      <c r="D21" s="13" t="s">
        <v>1733</v>
      </c>
      <c r="E21" s="13" t="s">
        <v>1734</v>
      </c>
      <c r="F21" s="13" t="s">
        <v>1216</v>
      </c>
      <c r="G21" s="17" t="s">
        <v>5</v>
      </c>
    </row>
    <row r="22" spans="1:7" x14ac:dyDescent="0.35">
      <c r="A22" s="16" t="s">
        <v>1735</v>
      </c>
      <c r="B22" s="13" t="s">
        <v>1727</v>
      </c>
      <c r="C22" s="13" t="s">
        <v>1736</v>
      </c>
      <c r="D22" s="13" t="s">
        <v>1737</v>
      </c>
      <c r="E22" s="13" t="s">
        <v>1738</v>
      </c>
      <c r="F22" s="13" t="s">
        <v>1216</v>
      </c>
      <c r="G22" s="17" t="s">
        <v>5</v>
      </c>
    </row>
    <row r="23" spans="1:7" ht="46.5" x14ac:dyDescent="0.35">
      <c r="A23" s="16" t="s">
        <v>1739</v>
      </c>
      <c r="B23" s="13" t="s">
        <v>1740</v>
      </c>
      <c r="C23" s="13" t="s">
        <v>1741</v>
      </c>
      <c r="D23" s="13" t="s">
        <v>1742</v>
      </c>
      <c r="E23" s="13" t="s">
        <v>1743</v>
      </c>
      <c r="F23" s="13" t="s">
        <v>1216</v>
      </c>
      <c r="G23" s="17" t="s">
        <v>5</v>
      </c>
    </row>
    <row r="24" spans="1:7" ht="46.5" x14ac:dyDescent="0.35">
      <c r="A24" s="16" t="s">
        <v>1744</v>
      </c>
      <c r="B24" s="13" t="s">
        <v>1727</v>
      </c>
      <c r="C24" s="13" t="s">
        <v>1745</v>
      </c>
      <c r="D24" s="13" t="s">
        <v>1746</v>
      </c>
      <c r="E24" s="13" t="s">
        <v>1747</v>
      </c>
      <c r="F24" s="13" t="s">
        <v>102</v>
      </c>
      <c r="G24" s="17" t="s">
        <v>5</v>
      </c>
    </row>
    <row r="25" spans="1:7" ht="46.5" x14ac:dyDescent="0.35">
      <c r="A25" s="16" t="s">
        <v>1748</v>
      </c>
      <c r="B25" s="13" t="s">
        <v>1727</v>
      </c>
      <c r="C25" s="13" t="s">
        <v>1749</v>
      </c>
      <c r="D25" s="13" t="s">
        <v>1750</v>
      </c>
      <c r="E25" s="13" t="s">
        <v>1751</v>
      </c>
      <c r="F25" s="13" t="s">
        <v>102</v>
      </c>
      <c r="G25" s="17" t="s">
        <v>5</v>
      </c>
    </row>
    <row r="26" spans="1:7" x14ac:dyDescent="0.35">
      <c r="A26" s="16" t="s">
        <v>1752</v>
      </c>
      <c r="B26" s="13" t="s">
        <v>1727</v>
      </c>
      <c r="C26" s="13" t="s">
        <v>1753</v>
      </c>
      <c r="D26" s="13" t="s">
        <v>1754</v>
      </c>
      <c r="E26" s="13" t="s">
        <v>1755</v>
      </c>
      <c r="F26" s="13" t="s">
        <v>102</v>
      </c>
      <c r="G26" s="17" t="s">
        <v>5</v>
      </c>
    </row>
    <row r="27" spans="1:7" ht="46.5" x14ac:dyDescent="0.35">
      <c r="A27" s="16" t="s">
        <v>1756</v>
      </c>
      <c r="B27" s="13" t="s">
        <v>1727</v>
      </c>
      <c r="C27" s="13" t="s">
        <v>1741</v>
      </c>
      <c r="D27" s="13" t="s">
        <v>1757</v>
      </c>
      <c r="E27" s="13" t="s">
        <v>1758</v>
      </c>
      <c r="F27" s="13" t="s">
        <v>201</v>
      </c>
      <c r="G27" s="17" t="s">
        <v>5</v>
      </c>
    </row>
    <row r="28" spans="1:7" ht="46.5" x14ac:dyDescent="0.35">
      <c r="A28" s="16" t="s">
        <v>1759</v>
      </c>
      <c r="B28" s="13" t="s">
        <v>1760</v>
      </c>
      <c r="C28" s="13" t="s">
        <v>1761</v>
      </c>
      <c r="D28" s="13" t="s">
        <v>85</v>
      </c>
      <c r="E28" s="13" t="s">
        <v>1186</v>
      </c>
      <c r="F28" s="13" t="s">
        <v>99</v>
      </c>
      <c r="G28" s="17" t="s">
        <v>5</v>
      </c>
    </row>
  </sheetData>
  <mergeCells count="24">
    <mergeCell ref="A1:I1"/>
    <mergeCell ref="E2:F2"/>
    <mergeCell ref="B3:C3"/>
    <mergeCell ref="F3:I3"/>
    <mergeCell ref="B4:C4"/>
    <mergeCell ref="F4:I4"/>
    <mergeCell ref="B15:I15"/>
    <mergeCell ref="B5:C5"/>
    <mergeCell ref="F5:I5"/>
    <mergeCell ref="B6:C6"/>
    <mergeCell ref="F6:I6"/>
    <mergeCell ref="B7:C7"/>
    <mergeCell ref="F7:I7"/>
    <mergeCell ref="F8:I8"/>
    <mergeCell ref="A10:I10"/>
    <mergeCell ref="B12:E12"/>
    <mergeCell ref="B13:E13"/>
    <mergeCell ref="B14:E14"/>
    <mergeCell ref="B16:I16"/>
    <mergeCell ref="A18:A19"/>
    <mergeCell ref="B18:D18"/>
    <mergeCell ref="E18:E19"/>
    <mergeCell ref="F18:F19"/>
    <mergeCell ref="G18:G19"/>
  </mergeCells>
  <conditionalFormatting sqref="G20:G28">
    <cfRule type="cellIs" dxfId="11" priority="1" operator="equal">
      <formula>"Pass"</formula>
    </cfRule>
    <cfRule type="cellIs" dxfId="10" priority="2" operator="equal">
      <formula>"Fail"</formula>
    </cfRule>
    <cfRule type="cellIs" dxfId="9" priority="3" operator="equal">
      <formula>"Block"</formula>
    </cfRule>
  </conditionalFormatting>
  <dataValidations count="1">
    <dataValidation type="list" allowBlank="1" sqref="G20:G28" xr:uid="{FB6F7310-52BB-4FF8-9EB0-839B9888E94E}">
      <formula1>"Pass,Fail,No run,Block"</formula1>
      <formula2>0</formula2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A10B-9A29-47EB-8CB6-AC092355D5D8}">
  <dimension ref="A1:K20"/>
  <sheetViews>
    <sheetView topLeftCell="A15" workbookViewId="0">
      <selection activeCell="E20" sqref="E20"/>
    </sheetView>
  </sheetViews>
  <sheetFormatPr defaultColWidth="7.625" defaultRowHeight="23.25" x14ac:dyDescent="0.35"/>
  <cols>
    <col min="1" max="1" width="19.25" style="8" customWidth="1"/>
    <col min="2" max="3" width="12.25" style="8" customWidth="1"/>
    <col min="4" max="4" width="40.25" style="8" customWidth="1"/>
    <col min="5" max="5" width="32" style="8" customWidth="1"/>
    <col min="6" max="6" width="14.875" style="8" customWidth="1"/>
    <col min="7" max="8" width="7.625" style="8"/>
    <col min="9" max="9" width="8.75" style="8" customWidth="1"/>
    <col min="10" max="11" width="17.5" style="8" customWidth="1"/>
    <col min="12" max="16384" width="7.625" style="8"/>
  </cols>
  <sheetData>
    <row r="1" spans="1:11" ht="46.5" x14ac:dyDescent="0.35">
      <c r="A1" s="30" t="s">
        <v>57</v>
      </c>
      <c r="B1" s="30"/>
      <c r="C1" s="30"/>
      <c r="D1" s="30"/>
      <c r="E1" s="30"/>
      <c r="F1" s="30"/>
      <c r="I1" s="13"/>
      <c r="J1" s="15" t="s">
        <v>1762</v>
      </c>
      <c r="K1" s="15" t="s">
        <v>1763</v>
      </c>
    </row>
    <row r="2" spans="1:11" x14ac:dyDescent="0.35">
      <c r="I2" s="17" t="s">
        <v>301</v>
      </c>
      <c r="J2" s="17" t="s">
        <v>307</v>
      </c>
      <c r="K2" s="17" t="s">
        <v>303</v>
      </c>
    </row>
    <row r="3" spans="1:11" x14ac:dyDescent="0.35">
      <c r="A3" s="12" t="s">
        <v>58</v>
      </c>
      <c r="B3" s="28" t="s">
        <v>1764</v>
      </c>
      <c r="C3" s="28"/>
      <c r="D3" s="28"/>
      <c r="E3" s="12" t="s">
        <v>60</v>
      </c>
      <c r="F3" s="14" t="s">
        <v>154</v>
      </c>
      <c r="I3" s="17" t="s">
        <v>305</v>
      </c>
      <c r="J3" s="17" t="s">
        <v>86</v>
      </c>
      <c r="K3" s="17" t="s">
        <v>307</v>
      </c>
    </row>
    <row r="4" spans="1:11" x14ac:dyDescent="0.35">
      <c r="A4" s="12" t="s">
        <v>61</v>
      </c>
      <c r="B4" s="28" t="s">
        <v>308</v>
      </c>
      <c r="C4" s="28"/>
      <c r="D4" s="28"/>
      <c r="E4" s="12" t="s">
        <v>63</v>
      </c>
      <c r="F4" s="14" t="s">
        <v>156</v>
      </c>
      <c r="I4" s="17" t="s">
        <v>309</v>
      </c>
      <c r="J4" s="17" t="s">
        <v>712</v>
      </c>
      <c r="K4" s="17" t="s">
        <v>86</v>
      </c>
    </row>
    <row r="5" spans="1:11" ht="46.5" x14ac:dyDescent="0.35">
      <c r="A5" s="12" t="s">
        <v>64</v>
      </c>
      <c r="B5" s="28" t="s">
        <v>65</v>
      </c>
      <c r="C5" s="28"/>
      <c r="D5" s="28"/>
      <c r="E5" s="12" t="s">
        <v>66</v>
      </c>
      <c r="F5" s="13" t="s">
        <v>67</v>
      </c>
      <c r="I5" s="17" t="s">
        <v>233</v>
      </c>
      <c r="J5" s="17" t="s">
        <v>1765</v>
      </c>
      <c r="K5" s="17" t="s">
        <v>1766</v>
      </c>
    </row>
    <row r="6" spans="1:11" ht="46.5" x14ac:dyDescent="0.35">
      <c r="A6" s="12" t="s">
        <v>68</v>
      </c>
      <c r="B6" s="28" t="s">
        <v>1767</v>
      </c>
      <c r="C6" s="28"/>
      <c r="D6" s="28"/>
      <c r="E6" s="28"/>
      <c r="F6" s="28"/>
    </row>
    <row r="7" spans="1:11" ht="46.5" x14ac:dyDescent="0.35">
      <c r="A7" s="12" t="s">
        <v>70</v>
      </c>
      <c r="B7" s="28" t="s">
        <v>1768</v>
      </c>
      <c r="C7" s="28"/>
      <c r="D7" s="28"/>
      <c r="E7" s="28"/>
      <c r="F7" s="28"/>
    </row>
    <row r="9" spans="1:11" x14ac:dyDescent="0.35">
      <c r="A9" s="29" t="s">
        <v>72</v>
      </c>
      <c r="B9" s="29" t="s">
        <v>73</v>
      </c>
      <c r="C9" s="29"/>
      <c r="D9" s="29" t="s">
        <v>74</v>
      </c>
      <c r="E9" s="29" t="s">
        <v>75</v>
      </c>
      <c r="F9" s="29" t="s">
        <v>76</v>
      </c>
    </row>
    <row r="10" spans="1:11" x14ac:dyDescent="0.35">
      <c r="A10" s="29"/>
      <c r="B10" s="15" t="s">
        <v>1769</v>
      </c>
      <c r="C10" s="15" t="s">
        <v>1770</v>
      </c>
      <c r="D10" s="29"/>
      <c r="E10" s="29"/>
      <c r="F10" s="29"/>
    </row>
    <row r="11" spans="1:11" ht="46.5" x14ac:dyDescent="0.35">
      <c r="A11" s="16" t="s">
        <v>1771</v>
      </c>
      <c r="B11" s="13" t="s">
        <v>945</v>
      </c>
      <c r="C11" s="13" t="s">
        <v>1772</v>
      </c>
      <c r="D11" s="13" t="s">
        <v>1773</v>
      </c>
      <c r="E11" s="13" t="s">
        <v>1829</v>
      </c>
      <c r="F11" s="17" t="s">
        <v>5</v>
      </c>
    </row>
    <row r="12" spans="1:11" ht="46.5" x14ac:dyDescent="0.35">
      <c r="A12" s="16" t="s">
        <v>1774</v>
      </c>
      <c r="B12" s="13" t="s">
        <v>945</v>
      </c>
      <c r="C12" s="13" t="s">
        <v>1775</v>
      </c>
      <c r="D12" s="13" t="s">
        <v>1776</v>
      </c>
      <c r="E12" s="13" t="s">
        <v>102</v>
      </c>
      <c r="F12" s="17" t="s">
        <v>5</v>
      </c>
    </row>
    <row r="13" spans="1:11" ht="46.5" x14ac:dyDescent="0.35">
      <c r="A13" s="16" t="s">
        <v>1777</v>
      </c>
      <c r="B13" s="13" t="s">
        <v>945</v>
      </c>
      <c r="C13" s="13" t="s">
        <v>1778</v>
      </c>
      <c r="D13" s="13" t="s">
        <v>1493</v>
      </c>
      <c r="E13" s="13" t="s">
        <v>1493</v>
      </c>
      <c r="F13" s="17" t="s">
        <v>5</v>
      </c>
    </row>
    <row r="14" spans="1:11" ht="46.5" x14ac:dyDescent="0.35">
      <c r="A14" s="16" t="s">
        <v>1779</v>
      </c>
      <c r="B14" s="13" t="s">
        <v>945</v>
      </c>
      <c r="C14" s="13" t="s">
        <v>1780</v>
      </c>
      <c r="D14" s="13" t="s">
        <v>1493</v>
      </c>
      <c r="E14" s="13" t="s">
        <v>1493</v>
      </c>
      <c r="F14" s="17" t="s">
        <v>5</v>
      </c>
    </row>
    <row r="15" spans="1:11" ht="93" x14ac:dyDescent="0.35">
      <c r="A15" s="16" t="s">
        <v>1781</v>
      </c>
      <c r="B15" s="13" t="s">
        <v>945</v>
      </c>
      <c r="C15" s="13" t="s">
        <v>1782</v>
      </c>
      <c r="D15" s="13" t="s">
        <v>1783</v>
      </c>
      <c r="E15" s="13" t="s">
        <v>102</v>
      </c>
      <c r="F15" s="17" t="s">
        <v>5</v>
      </c>
    </row>
    <row r="16" spans="1:11" ht="93" x14ac:dyDescent="0.35">
      <c r="A16" s="16" t="s">
        <v>1784</v>
      </c>
      <c r="B16" s="13" t="s">
        <v>945</v>
      </c>
      <c r="C16" s="13" t="s">
        <v>1785</v>
      </c>
      <c r="D16" s="13" t="s">
        <v>1786</v>
      </c>
      <c r="E16" s="13" t="s">
        <v>1786</v>
      </c>
      <c r="F16" s="17" t="s">
        <v>5</v>
      </c>
    </row>
    <row r="17" spans="1:6" ht="93" x14ac:dyDescent="0.35">
      <c r="A17" s="16" t="s">
        <v>1787</v>
      </c>
      <c r="B17" s="13" t="s">
        <v>945</v>
      </c>
      <c r="C17" s="13" t="s">
        <v>1788</v>
      </c>
      <c r="D17" s="13" t="s">
        <v>1786</v>
      </c>
      <c r="E17" s="13" t="s">
        <v>1786</v>
      </c>
      <c r="F17" s="17" t="s">
        <v>5</v>
      </c>
    </row>
    <row r="18" spans="1:6" ht="116.25" x14ac:dyDescent="0.35">
      <c r="A18" s="16" t="s">
        <v>1789</v>
      </c>
      <c r="B18" s="13" t="s">
        <v>945</v>
      </c>
      <c r="C18" s="13" t="s">
        <v>1790</v>
      </c>
      <c r="D18" s="13" t="s">
        <v>1791</v>
      </c>
      <c r="E18" s="13" t="s">
        <v>1493</v>
      </c>
      <c r="F18" s="17" t="s">
        <v>5</v>
      </c>
    </row>
    <row r="19" spans="1:6" ht="46.5" x14ac:dyDescent="0.35">
      <c r="A19" s="16" t="s">
        <v>1792</v>
      </c>
      <c r="B19" s="13" t="s">
        <v>948</v>
      </c>
      <c r="C19" s="13" t="s">
        <v>1772</v>
      </c>
      <c r="D19" s="13" t="s">
        <v>1793</v>
      </c>
      <c r="E19" s="13" t="s">
        <v>102</v>
      </c>
      <c r="F19" s="17" t="s">
        <v>5</v>
      </c>
    </row>
    <row r="20" spans="1:6" x14ac:dyDescent="0.35">
      <c r="A20" s="16" t="s">
        <v>1794</v>
      </c>
      <c r="B20" s="13" t="s">
        <v>948</v>
      </c>
      <c r="C20" s="13" t="s">
        <v>1795</v>
      </c>
      <c r="D20" s="13" t="s">
        <v>1796</v>
      </c>
      <c r="E20" s="13" t="s">
        <v>1796</v>
      </c>
      <c r="F20" s="17" t="s">
        <v>5</v>
      </c>
    </row>
  </sheetData>
  <mergeCells count="11">
    <mergeCell ref="A1:F1"/>
    <mergeCell ref="B3:D3"/>
    <mergeCell ref="B4:D4"/>
    <mergeCell ref="B5:D5"/>
    <mergeCell ref="B6:F6"/>
    <mergeCell ref="B7:F7"/>
    <mergeCell ref="A9:A10"/>
    <mergeCell ref="B9:C9"/>
    <mergeCell ref="D9:D10"/>
    <mergeCell ref="E9:E10"/>
    <mergeCell ref="F9:F10"/>
  </mergeCells>
  <conditionalFormatting sqref="F11:F20">
    <cfRule type="cellIs" dxfId="8" priority="1" operator="equal">
      <formula>"Pass"</formula>
    </cfRule>
    <cfRule type="cellIs" dxfId="7" priority="2" operator="equal">
      <formula>"Fail"</formula>
    </cfRule>
    <cfRule type="cellIs" dxfId="6" priority="3" operator="equal">
      <formula>"Block"</formula>
    </cfRule>
  </conditionalFormatting>
  <dataValidations count="1">
    <dataValidation type="list" allowBlank="1" sqref="F11:F20" xr:uid="{82F4A8E7-F2E1-4FF0-A3A5-771829438754}">
      <formula1>"Pass,Fail,No run,Block"</formula1>
      <formula2>0</formula2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16D95-552F-4C97-BDF6-E24F68B177A9}">
  <dimension ref="A1:J18"/>
  <sheetViews>
    <sheetView workbookViewId="0">
      <selection activeCell="F3" sqref="F3:F4"/>
    </sheetView>
  </sheetViews>
  <sheetFormatPr defaultColWidth="7.625" defaultRowHeight="23.25" x14ac:dyDescent="0.35"/>
  <cols>
    <col min="1" max="1" width="19.25" style="8" customWidth="1"/>
    <col min="2" max="3" width="21" style="8" customWidth="1"/>
    <col min="4" max="4" width="38.5" style="8" customWidth="1"/>
    <col min="5" max="5" width="31.75" style="8" customWidth="1"/>
    <col min="6" max="6" width="14.875" style="8" customWidth="1"/>
    <col min="7" max="8" width="7.625" style="8"/>
    <col min="9" max="9" width="8.75" style="8" customWidth="1"/>
    <col min="10" max="10" width="19.25" style="8" customWidth="1"/>
    <col min="11" max="16384" width="7.625" style="8"/>
  </cols>
  <sheetData>
    <row r="1" spans="1:10" ht="46.5" x14ac:dyDescent="0.35">
      <c r="A1" s="30" t="s">
        <v>57</v>
      </c>
      <c r="B1" s="30"/>
      <c r="C1" s="30"/>
      <c r="D1" s="30"/>
      <c r="E1" s="30"/>
      <c r="F1" s="30"/>
      <c r="I1" s="13"/>
      <c r="J1" s="15" t="s">
        <v>1797</v>
      </c>
    </row>
    <row r="2" spans="1:10" x14ac:dyDescent="0.35">
      <c r="I2" s="17" t="s">
        <v>301</v>
      </c>
      <c r="J2" s="17" t="s">
        <v>303</v>
      </c>
    </row>
    <row r="3" spans="1:10" x14ac:dyDescent="0.35">
      <c r="A3" s="12" t="s">
        <v>58</v>
      </c>
      <c r="B3" s="28" t="s">
        <v>1798</v>
      </c>
      <c r="C3" s="28"/>
      <c r="D3" s="28"/>
      <c r="E3" s="12" t="s">
        <v>60</v>
      </c>
      <c r="F3" s="14" t="s">
        <v>154</v>
      </c>
      <c r="I3" s="17" t="s">
        <v>305</v>
      </c>
      <c r="J3" s="17" t="s">
        <v>307</v>
      </c>
    </row>
    <row r="4" spans="1:10" x14ac:dyDescent="0.35">
      <c r="A4" s="12" t="s">
        <v>61</v>
      </c>
      <c r="B4" s="28" t="s">
        <v>308</v>
      </c>
      <c r="C4" s="28"/>
      <c r="D4" s="28"/>
      <c r="E4" s="12" t="s">
        <v>63</v>
      </c>
      <c r="F4" s="14" t="s">
        <v>156</v>
      </c>
      <c r="I4" s="17" t="s">
        <v>309</v>
      </c>
      <c r="J4" s="17" t="s">
        <v>86</v>
      </c>
    </row>
    <row r="5" spans="1:10" ht="46.5" x14ac:dyDescent="0.35">
      <c r="A5" s="12" t="s">
        <v>64</v>
      </c>
      <c r="B5" s="28" t="s">
        <v>65</v>
      </c>
      <c r="C5" s="28"/>
      <c r="D5" s="28"/>
      <c r="E5" s="12" t="s">
        <v>66</v>
      </c>
      <c r="F5" s="13" t="s">
        <v>67</v>
      </c>
      <c r="I5" s="17" t="s">
        <v>233</v>
      </c>
      <c r="J5" s="17" t="s">
        <v>730</v>
      </c>
    </row>
    <row r="6" spans="1:10" ht="46.5" x14ac:dyDescent="0.35">
      <c r="A6" s="12" t="s">
        <v>68</v>
      </c>
      <c r="B6" s="28" t="s">
        <v>1799</v>
      </c>
      <c r="C6" s="28"/>
      <c r="D6" s="28"/>
      <c r="E6" s="28"/>
      <c r="F6" s="28"/>
    </row>
    <row r="7" spans="1:10" ht="46.5" x14ac:dyDescent="0.35">
      <c r="A7" s="12" t="s">
        <v>70</v>
      </c>
      <c r="B7" s="28" t="s">
        <v>1800</v>
      </c>
      <c r="C7" s="28"/>
      <c r="D7" s="28"/>
      <c r="E7" s="28"/>
      <c r="F7" s="28"/>
    </row>
    <row r="9" spans="1:10" x14ac:dyDescent="0.35">
      <c r="A9" s="29" t="s">
        <v>72</v>
      </c>
      <c r="B9" s="29" t="s">
        <v>73</v>
      </c>
      <c r="C9" s="29"/>
      <c r="D9" s="29" t="s">
        <v>74</v>
      </c>
      <c r="E9" s="29" t="s">
        <v>75</v>
      </c>
      <c r="F9" s="29" t="s">
        <v>76</v>
      </c>
    </row>
    <row r="10" spans="1:10" x14ac:dyDescent="0.35">
      <c r="A10" s="29"/>
      <c r="B10" s="15" t="s">
        <v>1801</v>
      </c>
      <c r="C10" s="15" t="s">
        <v>1802</v>
      </c>
      <c r="D10" s="29"/>
      <c r="E10" s="29"/>
      <c r="F10" s="29"/>
    </row>
    <row r="11" spans="1:10" ht="46.5" x14ac:dyDescent="0.35">
      <c r="A11" s="16" t="s">
        <v>1803</v>
      </c>
      <c r="B11" s="13" t="s">
        <v>1804</v>
      </c>
      <c r="C11" s="13" t="s">
        <v>945</v>
      </c>
      <c r="D11" s="13" t="s">
        <v>1805</v>
      </c>
      <c r="E11" s="13" t="s">
        <v>1493</v>
      </c>
      <c r="F11" s="17" t="s">
        <v>5</v>
      </c>
    </row>
    <row r="12" spans="1:10" ht="46.5" x14ac:dyDescent="0.35">
      <c r="A12" s="16" t="s">
        <v>1806</v>
      </c>
      <c r="B12" s="13" t="s">
        <v>1807</v>
      </c>
      <c r="C12" s="13" t="s">
        <v>945</v>
      </c>
      <c r="D12" s="13" t="s">
        <v>1808</v>
      </c>
      <c r="E12" s="13" t="s">
        <v>102</v>
      </c>
      <c r="F12" s="17" t="s">
        <v>5</v>
      </c>
    </row>
    <row r="13" spans="1:10" ht="46.5" x14ac:dyDescent="0.35">
      <c r="A13" s="16" t="s">
        <v>1809</v>
      </c>
      <c r="B13" s="13" t="s">
        <v>1810</v>
      </c>
      <c r="C13" s="13" t="s">
        <v>945</v>
      </c>
      <c r="D13" s="13" t="s">
        <v>102</v>
      </c>
      <c r="E13" s="13" t="s">
        <v>102</v>
      </c>
      <c r="F13" s="17" t="s">
        <v>5</v>
      </c>
    </row>
    <row r="14" spans="1:10" ht="46.5" x14ac:dyDescent="0.35">
      <c r="A14" s="16" t="s">
        <v>1811</v>
      </c>
      <c r="B14" s="13" t="s">
        <v>1812</v>
      </c>
      <c r="C14" s="13" t="s">
        <v>945</v>
      </c>
      <c r="D14" s="13" t="s">
        <v>1493</v>
      </c>
      <c r="E14" s="13" t="s">
        <v>1493</v>
      </c>
      <c r="F14" s="17" t="s">
        <v>5</v>
      </c>
    </row>
    <row r="15" spans="1:10" x14ac:dyDescent="0.35">
      <c r="A15" s="16" t="s">
        <v>1813</v>
      </c>
      <c r="B15" s="13" t="s">
        <v>1814</v>
      </c>
      <c r="C15" s="13" t="s">
        <v>948</v>
      </c>
      <c r="D15" s="13" t="s">
        <v>1815</v>
      </c>
      <c r="E15" s="13" t="s">
        <v>1493</v>
      </c>
      <c r="F15" s="17" t="s">
        <v>5</v>
      </c>
    </row>
    <row r="16" spans="1:10" ht="46.5" x14ac:dyDescent="0.35">
      <c r="A16" s="16" t="s">
        <v>1816</v>
      </c>
      <c r="B16" s="13" t="s">
        <v>1817</v>
      </c>
      <c r="C16" s="13" t="s">
        <v>945</v>
      </c>
      <c r="D16" s="13" t="s">
        <v>1818</v>
      </c>
      <c r="E16" s="13" t="s">
        <v>102</v>
      </c>
      <c r="F16" s="17" t="s">
        <v>5</v>
      </c>
    </row>
    <row r="17" spans="1:6" ht="46.5" x14ac:dyDescent="0.35">
      <c r="A17" s="16" t="s">
        <v>1819</v>
      </c>
      <c r="B17" s="13" t="s">
        <v>1820</v>
      </c>
      <c r="C17" s="13" t="s">
        <v>85</v>
      </c>
      <c r="D17" s="13" t="s">
        <v>1821</v>
      </c>
      <c r="E17" s="13" t="s">
        <v>102</v>
      </c>
      <c r="F17" s="17" t="s">
        <v>5</v>
      </c>
    </row>
    <row r="18" spans="1:6" x14ac:dyDescent="0.35">
      <c r="A18" s="16" t="s">
        <v>1822</v>
      </c>
      <c r="B18" s="13" t="s">
        <v>1823</v>
      </c>
      <c r="C18" s="13" t="s">
        <v>85</v>
      </c>
      <c r="D18" s="13" t="s">
        <v>99</v>
      </c>
      <c r="E18" s="13" t="s">
        <v>99</v>
      </c>
      <c r="F18" s="17" t="s">
        <v>5</v>
      </c>
    </row>
  </sheetData>
  <mergeCells count="11">
    <mergeCell ref="A1:F1"/>
    <mergeCell ref="B3:D3"/>
    <mergeCell ref="B4:D4"/>
    <mergeCell ref="B5:D5"/>
    <mergeCell ref="B6:F6"/>
    <mergeCell ref="B7:F7"/>
    <mergeCell ref="A9:A10"/>
    <mergeCell ref="B9:C9"/>
    <mergeCell ref="D9:D10"/>
    <mergeCell ref="E9:E10"/>
    <mergeCell ref="F9:F10"/>
  </mergeCells>
  <conditionalFormatting sqref="F11:F18">
    <cfRule type="cellIs" dxfId="5" priority="1" operator="equal">
      <formula>"Pass"</formula>
    </cfRule>
    <cfRule type="cellIs" dxfId="4" priority="2" operator="equal">
      <formula>"Fail"</formula>
    </cfRule>
    <cfRule type="cellIs" dxfId="3" priority="3" operator="equal">
      <formula>"Block"</formula>
    </cfRule>
  </conditionalFormatting>
  <dataValidations count="1">
    <dataValidation type="list" allowBlank="1" sqref="F11:F18" xr:uid="{6C6C1C92-A46B-4DF9-AB61-F88208529E4D}">
      <formula1>"Pass,Fail,No run,Block"</formula1>
      <formula2>0</formula2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663A-CDA2-4B55-9784-CC4C000D7C5D}">
  <dimension ref="A1:M20"/>
  <sheetViews>
    <sheetView workbookViewId="0">
      <selection activeCell="K14" sqref="K14"/>
    </sheetView>
  </sheetViews>
  <sheetFormatPr defaultColWidth="7.625" defaultRowHeight="23.25" x14ac:dyDescent="0.35"/>
  <cols>
    <col min="1" max="1" width="19.25" style="8" customWidth="1"/>
    <col min="2" max="4" width="14.875" style="8" customWidth="1"/>
    <col min="5" max="5" width="36.75" style="8" customWidth="1"/>
    <col min="6" max="6" width="34.375" style="8" customWidth="1"/>
    <col min="7" max="7" width="17.75" style="8" customWidth="1"/>
    <col min="8" max="9" width="7.625" style="8"/>
    <col min="10" max="10" width="8.75" style="8" customWidth="1"/>
    <col min="11" max="13" width="21" style="8" customWidth="1"/>
    <col min="14" max="16384" width="7.625" style="8"/>
  </cols>
  <sheetData>
    <row r="1" spans="1:13" ht="46.5" x14ac:dyDescent="0.35">
      <c r="A1" s="30" t="s">
        <v>57</v>
      </c>
      <c r="B1" s="30"/>
      <c r="C1" s="30"/>
      <c r="D1" s="30"/>
      <c r="E1" s="30"/>
      <c r="F1" s="30"/>
      <c r="G1" s="30"/>
      <c r="J1" s="13"/>
      <c r="K1" s="15" t="s">
        <v>1830</v>
      </c>
      <c r="L1" s="15" t="s">
        <v>1831</v>
      </c>
      <c r="M1" s="15" t="s">
        <v>1832</v>
      </c>
    </row>
    <row r="2" spans="1:13" ht="46.5" x14ac:dyDescent="0.35">
      <c r="J2" s="17" t="s">
        <v>301</v>
      </c>
      <c r="K2" s="17" t="s">
        <v>303</v>
      </c>
      <c r="L2" s="17" t="s">
        <v>1833</v>
      </c>
      <c r="M2" s="17" t="s">
        <v>1834</v>
      </c>
    </row>
    <row r="3" spans="1:13" ht="28.5" customHeight="1" x14ac:dyDescent="0.35">
      <c r="A3" s="12" t="s">
        <v>58</v>
      </c>
      <c r="B3" s="28" t="s">
        <v>1835</v>
      </c>
      <c r="C3" s="28"/>
      <c r="D3" s="28"/>
      <c r="E3" s="28"/>
      <c r="F3" s="12" t="s">
        <v>60</v>
      </c>
      <c r="G3" s="14" t="s">
        <v>154</v>
      </c>
      <c r="J3" s="17" t="s">
        <v>305</v>
      </c>
      <c r="K3" s="17" t="s">
        <v>307</v>
      </c>
      <c r="L3" s="17" t="s">
        <v>1836</v>
      </c>
      <c r="M3" s="17" t="s">
        <v>1837</v>
      </c>
    </row>
    <row r="4" spans="1:13" ht="29.25" customHeight="1" x14ac:dyDescent="0.35">
      <c r="A4" s="12" t="s">
        <v>61</v>
      </c>
      <c r="B4" s="28" t="s">
        <v>308</v>
      </c>
      <c r="C4" s="28"/>
      <c r="D4" s="28"/>
      <c r="E4" s="28"/>
      <c r="F4" s="12" t="s">
        <v>63</v>
      </c>
      <c r="G4" s="14" t="s">
        <v>156</v>
      </c>
      <c r="J4" s="17" t="s">
        <v>309</v>
      </c>
      <c r="K4" s="17" t="s">
        <v>86</v>
      </c>
      <c r="L4" s="17" t="s">
        <v>1838</v>
      </c>
      <c r="M4" s="17" t="s">
        <v>1839</v>
      </c>
    </row>
    <row r="5" spans="1:13" ht="46.5" x14ac:dyDescent="0.35">
      <c r="A5" s="12" t="s">
        <v>64</v>
      </c>
      <c r="B5" s="28" t="s">
        <v>65</v>
      </c>
      <c r="C5" s="28"/>
      <c r="D5" s="28"/>
      <c r="E5" s="28"/>
      <c r="F5" s="12" t="s">
        <v>66</v>
      </c>
      <c r="G5" s="13" t="s">
        <v>67</v>
      </c>
    </row>
    <row r="6" spans="1:13" ht="46.5" x14ac:dyDescent="0.35">
      <c r="A6" s="12" t="s">
        <v>68</v>
      </c>
      <c r="B6" s="28" t="s">
        <v>1840</v>
      </c>
      <c r="C6" s="28"/>
      <c r="D6" s="28"/>
      <c r="E6" s="28"/>
      <c r="F6" s="28"/>
      <c r="G6" s="28"/>
    </row>
    <row r="7" spans="1:13" ht="46.5" x14ac:dyDescent="0.35">
      <c r="A7" s="12" t="s">
        <v>70</v>
      </c>
      <c r="B7" s="28" t="s">
        <v>1841</v>
      </c>
      <c r="C7" s="28"/>
      <c r="D7" s="28"/>
      <c r="E7" s="28"/>
      <c r="F7" s="28"/>
      <c r="G7" s="28"/>
    </row>
    <row r="9" spans="1:13" x14ac:dyDescent="0.35">
      <c r="A9" s="29" t="s">
        <v>72</v>
      </c>
      <c r="B9" s="29" t="s">
        <v>73</v>
      </c>
      <c r="C9" s="29"/>
      <c r="D9" s="29"/>
      <c r="E9" s="29" t="s">
        <v>74</v>
      </c>
      <c r="F9" s="29" t="s">
        <v>75</v>
      </c>
      <c r="G9" s="29" t="s">
        <v>76</v>
      </c>
    </row>
    <row r="10" spans="1:13" x14ac:dyDescent="0.35">
      <c r="A10" s="29"/>
      <c r="B10" s="15" t="s">
        <v>1842</v>
      </c>
      <c r="C10" s="15" t="s">
        <v>1843</v>
      </c>
      <c r="D10" s="15" t="s">
        <v>1844</v>
      </c>
      <c r="E10" s="29"/>
      <c r="F10" s="29"/>
      <c r="G10" s="29"/>
    </row>
    <row r="11" spans="1:13" ht="46.5" x14ac:dyDescent="0.35">
      <c r="A11" s="16" t="s">
        <v>1845</v>
      </c>
      <c r="B11" s="13" t="s">
        <v>1846</v>
      </c>
      <c r="C11" s="13" t="s">
        <v>1847</v>
      </c>
      <c r="D11" s="13" t="s">
        <v>85</v>
      </c>
      <c r="E11" s="13" t="s">
        <v>1848</v>
      </c>
      <c r="F11" s="13" t="s">
        <v>102</v>
      </c>
      <c r="G11" s="17" t="s">
        <v>5</v>
      </c>
    </row>
    <row r="12" spans="1:13" x14ac:dyDescent="0.35">
      <c r="A12" s="16" t="s">
        <v>1849</v>
      </c>
      <c r="B12" s="13" t="s">
        <v>1847</v>
      </c>
      <c r="C12" s="13" t="s">
        <v>1847</v>
      </c>
      <c r="D12" s="13" t="s">
        <v>85</v>
      </c>
      <c r="E12" s="13" t="s">
        <v>1850</v>
      </c>
      <c r="F12" s="13" t="s">
        <v>1216</v>
      </c>
      <c r="G12" s="17" t="s">
        <v>5</v>
      </c>
    </row>
    <row r="13" spans="1:13" x14ac:dyDescent="0.35">
      <c r="A13" s="16" t="s">
        <v>1851</v>
      </c>
      <c r="B13" s="13" t="s">
        <v>1847</v>
      </c>
      <c r="C13" s="13" t="s">
        <v>1846</v>
      </c>
      <c r="D13" s="13" t="s">
        <v>85</v>
      </c>
      <c r="E13" s="13" t="s">
        <v>1216</v>
      </c>
      <c r="F13" s="13" t="s">
        <v>1216</v>
      </c>
      <c r="G13" s="17" t="s">
        <v>5</v>
      </c>
    </row>
    <row r="14" spans="1:13" ht="69.75" x14ac:dyDescent="0.35">
      <c r="A14" s="16" t="s">
        <v>1852</v>
      </c>
      <c r="B14" s="13" t="s">
        <v>1847</v>
      </c>
      <c r="C14" s="13" t="s">
        <v>1853</v>
      </c>
      <c r="D14" s="13" t="s">
        <v>1833</v>
      </c>
      <c r="E14" s="13" t="s">
        <v>1854</v>
      </c>
      <c r="F14" s="13" t="s">
        <v>1861</v>
      </c>
      <c r="G14" s="17" t="s">
        <v>5</v>
      </c>
    </row>
    <row r="15" spans="1:13" x14ac:dyDescent="0.35">
      <c r="A15" s="16" t="s">
        <v>1855</v>
      </c>
      <c r="B15" s="13" t="s">
        <v>1847</v>
      </c>
      <c r="C15" s="13" t="s">
        <v>1853</v>
      </c>
      <c r="D15" s="13" t="s">
        <v>1836</v>
      </c>
      <c r="E15" s="13" t="s">
        <v>1856</v>
      </c>
      <c r="F15" s="13" t="s">
        <v>1856</v>
      </c>
      <c r="G15" s="17" t="s">
        <v>5</v>
      </c>
    </row>
    <row r="16" spans="1:13" ht="69.75" x14ac:dyDescent="0.35">
      <c r="A16" s="16" t="s">
        <v>1857</v>
      </c>
      <c r="B16" s="13" t="s">
        <v>1847</v>
      </c>
      <c r="C16" s="13" t="s">
        <v>1853</v>
      </c>
      <c r="D16" s="13" t="s">
        <v>1838</v>
      </c>
      <c r="E16" s="13" t="s">
        <v>1856</v>
      </c>
      <c r="F16" s="13" t="s">
        <v>1856</v>
      </c>
      <c r="G16" s="17" t="s">
        <v>5</v>
      </c>
    </row>
    <row r="17" spans="1:7" ht="69.75" x14ac:dyDescent="0.35">
      <c r="A17" s="16" t="s">
        <v>1858</v>
      </c>
      <c r="B17" s="13" t="s">
        <v>1847</v>
      </c>
      <c r="C17" s="13" t="s">
        <v>1853</v>
      </c>
      <c r="D17" s="13" t="s">
        <v>1834</v>
      </c>
      <c r="E17" s="13" t="s">
        <v>1856</v>
      </c>
      <c r="F17" s="13" t="s">
        <v>1856</v>
      </c>
      <c r="G17" s="17" t="s">
        <v>5</v>
      </c>
    </row>
    <row r="18" spans="1:7" ht="69.75" x14ac:dyDescent="0.35">
      <c r="A18" s="16" t="s">
        <v>1859</v>
      </c>
      <c r="B18" s="13" t="s">
        <v>1847</v>
      </c>
      <c r="C18" s="13" t="s">
        <v>1853</v>
      </c>
      <c r="D18" s="13" t="s">
        <v>1837</v>
      </c>
      <c r="E18" s="13" t="s">
        <v>1856</v>
      </c>
      <c r="F18" s="13" t="s">
        <v>1856</v>
      </c>
      <c r="G18" s="17" t="s">
        <v>5</v>
      </c>
    </row>
    <row r="19" spans="1:7" x14ac:dyDescent="0.35">
      <c r="A19" s="16" t="s">
        <v>1860</v>
      </c>
      <c r="B19" s="13" t="s">
        <v>1847</v>
      </c>
      <c r="C19" s="13" t="s">
        <v>1853</v>
      </c>
      <c r="D19" s="13" t="s">
        <v>1839</v>
      </c>
      <c r="E19" s="13" t="s">
        <v>1861</v>
      </c>
      <c r="F19" s="13" t="s">
        <v>1861</v>
      </c>
      <c r="G19" s="17" t="s">
        <v>5</v>
      </c>
    </row>
    <row r="20" spans="1:7" ht="46.5" x14ac:dyDescent="0.35">
      <c r="A20" s="16" t="s">
        <v>1862</v>
      </c>
      <c r="B20" s="13" t="s">
        <v>93</v>
      </c>
      <c r="C20" s="13" t="s">
        <v>1853</v>
      </c>
      <c r="D20" s="13" t="s">
        <v>85</v>
      </c>
      <c r="E20" s="13" t="s">
        <v>1863</v>
      </c>
      <c r="F20" s="13" t="s">
        <v>102</v>
      </c>
      <c r="G20" s="17" t="s">
        <v>5</v>
      </c>
    </row>
  </sheetData>
  <mergeCells count="11">
    <mergeCell ref="A1:G1"/>
    <mergeCell ref="B3:E3"/>
    <mergeCell ref="B4:E4"/>
    <mergeCell ref="B5:E5"/>
    <mergeCell ref="B6:G6"/>
    <mergeCell ref="B7:G7"/>
    <mergeCell ref="A9:A10"/>
    <mergeCell ref="B9:D9"/>
    <mergeCell ref="E9:E10"/>
    <mergeCell ref="F9:F10"/>
    <mergeCell ref="G9:G10"/>
  </mergeCells>
  <conditionalFormatting sqref="G11:G20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"Block"</formula>
    </cfRule>
  </conditionalFormatting>
  <dataValidations count="1">
    <dataValidation type="list" allowBlank="1" sqref="G11:G20" xr:uid="{799C2B95-FD47-498B-B969-196083D307AA}">
      <formula1>"Pass,Fail,No run,Block"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Test Summary</vt:lpstr>
      <vt:lpstr>Defect Summary</vt:lpstr>
      <vt:lpstr>UT01_CreateBooking_EC</vt:lpstr>
      <vt:lpstr>UT02_CreateBooking_DT</vt:lpstr>
      <vt:lpstr>UT03_CreateBooking_Time_BVA</vt:lpstr>
      <vt:lpstr>UT04_Overlap_Buffer_BVA</vt:lpstr>
      <vt:lpstr>UT05_CancelBooking_DT</vt:lpstr>
      <vt:lpstr>UT06_Cancel_2h_BVA</vt:lpstr>
      <vt:lpstr>UT07_GetBookingById_DT</vt:lpstr>
      <vt:lpstr>UT08_BookingState_DT</vt:lpstr>
      <vt:lpstr>UT09_StateFactory_EC</vt:lpstr>
      <vt:lpstr>UT10_Availability_BVA</vt:lpstr>
      <vt:lpstr>UT11_Availability_EC</vt:lpstr>
      <vt:lpstr>UT12_BookingMapper_EC</vt:lpstr>
      <vt:lpstr>UT13_ProcessPayment_DT</vt:lpstr>
      <vt:lpstr>UT14_Payment_Promo_Status_EC</vt:lpstr>
      <vt:lpstr>UT15_FixedDiscount_BVA</vt:lpstr>
      <vt:lpstr>UT16_PercentDiscount_EC</vt:lpstr>
      <vt:lpstr>UT17_DiscountFactory_EC</vt:lpstr>
      <vt:lpstr>UT18_PaymentStrategy_EC</vt:lpstr>
      <vt:lpstr>UT19_Refund_Amount_BVA</vt:lpstr>
      <vt:lpstr>UT20_Refund_EC</vt:lpstr>
      <vt:lpstr>UT21_CheckIn_Window_BVA</vt:lpstr>
      <vt:lpstr>UT22_CheckIn_Queue_EC</vt:lpstr>
      <vt:lpstr>UT23_QueueStatus_DT</vt:lpstr>
      <vt:lpstr>UT24_TherapistExec_DT</vt:lpstr>
      <vt:lpstr>UT25_Review_Rating_BVA</vt:lpstr>
      <vt:lpstr>UT26_Review_EC</vt:lpstr>
      <vt:lpstr>UT27_Login_DT</vt:lpstr>
      <vt:lpstr>UT28_Register_EC</vt:lpstr>
      <vt:lpstr>UT29_UpdateProfile_DT</vt:lpstr>
      <vt:lpstr>UT30_UserSession_BVA</vt:lpstr>
      <vt:lpstr>UT31_JwtToken_EC</vt:lpstr>
      <vt:lpstr>UT32_RoomService_EC</vt:lpstr>
      <vt:lpstr>UT33_ServiceCatalog_EC</vt:lpstr>
      <vt:lpstr>UT34_Schedule_Shift_BVA</vt:lpstr>
      <vt:lpstr>UT35_ShopHours_BVA</vt:lpstr>
      <vt:lpstr>UT36_RevenueReport_BVA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2026-10-09T17:05:27Z</dcterms:created>
  <dcterms:modified xsi:type="dcterms:W3CDTF">2026-10-10T07:43:02Z</dcterms:modified>
</cp:coreProperties>
</file>