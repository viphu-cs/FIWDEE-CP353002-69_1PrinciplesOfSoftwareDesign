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ProjectPOS\FIWDEE-CP353002-69_1PrinciplesOfSoftwareDesign\test\"/>
    </mc:Choice>
  </mc:AlternateContent>
  <xr:revisionPtr revIDLastSave="0" documentId="13_ncr:1_{1CD43C00-C407-427A-B4F1-8D5E71DF4907}" xr6:coauthVersionLast="47" xr6:coauthVersionMax="47" xr10:uidLastSave="{00000000-0000-0000-0000-000000000000}"/>
  <bookViews>
    <workbookView xWindow="-120" yWindow="-120" windowWidth="29040" windowHeight="15720" xr2:uid="{9B0ECA1C-B255-4EEE-B7A8-035645CFC3D9}"/>
  </bookViews>
  <sheets>
    <sheet name="Test Summary" sheetId="1" r:id="rId1"/>
    <sheet name="UT01_CreateBooking_EC" sheetId="2" r:id="rId2"/>
    <sheet name="UT02_CreateBooking_DT" sheetId="3" r:id="rId3"/>
    <sheet name="UT03_CreateBooking_Time_BVA" sheetId="5" r:id="rId4"/>
    <sheet name="Defect Summary" sheetId="4" r:id="rId5"/>
  </sheets>
  <externalReferences>
    <externalReference r:id="rId6"/>
  </externalReferenc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7" i="1" l="1" a="1"/>
  <c r="F7" i="1" a="1"/>
  <c r="H6" i="1"/>
  <c r="G6" i="1"/>
  <c r="D6" i="1"/>
  <c r="E6" i="1"/>
  <c r="F6" i="1"/>
  <c r="E5" i="1"/>
  <c r="D5" i="1"/>
  <c r="H4" i="1"/>
  <c r="G4" i="1"/>
  <c r="G7" i="1" s="1" a="1"/>
  <c r="F4" i="1"/>
  <c r="E4" i="1"/>
  <c r="D4" i="1"/>
  <c r="G5" i="1"/>
  <c r="F5" i="1"/>
  <c r="H5" i="1"/>
  <c r="D7" i="1" l="1" a="1"/>
  <c r="H7" i="1" a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<sst xmlns="http://schemas.openxmlformats.org/spreadsheetml/2006/main" count="601" uniqueCount="298">
  <si>
    <t>FIWDEE – Unit Test Design</t>
  </si>
  <si>
    <t>No</t>
  </si>
  <si>
    <t>Project</t>
  </si>
  <si>
    <t>Test Strategy</t>
  </si>
  <si>
    <t>No. of Test Cases</t>
  </si>
  <si>
    <t>Pass</t>
  </si>
  <si>
    <t>Fail</t>
  </si>
  <si>
    <t>No run</t>
  </si>
  <si>
    <t>Block</t>
  </si>
  <si>
    <t>Remark / Defect ID</t>
  </si>
  <si>
    <t>Booking</t>
  </si>
  <si>
    <t>UT01 – BookingServiceImpl.createBooking – ข้อมูลนำเข้าและผู้ทำรายการ</t>
  </si>
  <si>
    <t>Weak Robust Equivalence Class Testing</t>
  </si>
  <si>
    <t>Total</t>
  </si>
  <si>
    <t>Equivalence Class Design</t>
  </si>
  <si>
    <t>Valid EC</t>
  </si>
  <si>
    <t>Invalid EC</t>
  </si>
  <si>
    <t>EC ID</t>
  </si>
  <si>
    <t>Condition</t>
  </si>
  <si>
    <t>V1</t>
  </si>
  <si>
    <t>currentUser เป็น CUSTOMER และมีโปรไฟล์ Customer</t>
  </si>
  <si>
    <t>I1</t>
  </si>
  <si>
    <t>currentUser = null</t>
  </si>
  <si>
    <t>V2</t>
  </si>
  <si>
    <t>currentUser เป็น RECEPTIONIST/OWNER และระบุ customerId ที่มีอยู่</t>
  </si>
  <si>
    <t>I2</t>
  </si>
  <si>
    <t>CUSTOMER แต่ไม่พบโปรไฟล์ Customer</t>
  </si>
  <si>
    <t>V3</t>
  </si>
  <si>
    <t>serviceId มีอยู่ และ isActive = true</t>
  </si>
  <si>
    <t>I3</t>
  </si>
  <si>
    <t>พนักงานไม่ระบุ customerId</t>
  </si>
  <si>
    <t>V4</t>
  </si>
  <si>
    <t>durationOptionId มีอยู่, active และเป็นของ service ที่เลือก</t>
  </si>
  <si>
    <t>I4</t>
  </si>
  <si>
    <t>พนักงานระบุ customerId ที่ไม่มีอยู่</t>
  </si>
  <si>
    <t>V5</t>
  </si>
  <si>
    <t>startDateTime ไม่เป็น null</t>
  </si>
  <si>
    <t>I5</t>
  </si>
  <si>
    <t>serviceId ไม่มีอยู่</t>
  </si>
  <si>
    <t>V6</t>
  </si>
  <si>
    <t>therapistId = null (ระบบจัดสรร) หรือหมอนวด active ที่มีทักษะ</t>
  </si>
  <si>
    <t>I6</t>
  </si>
  <si>
    <t>service isActive = false</t>
  </si>
  <si>
    <t>I7</t>
  </si>
  <si>
    <t>durationOptionId ไม่มีอยู่</t>
  </si>
  <si>
    <t>I8</t>
  </si>
  <si>
    <t>durationOption เป็นของ service อื่น</t>
  </si>
  <si>
    <t>I9</t>
  </si>
  <si>
    <t>durationOption isActive = false</t>
  </si>
  <si>
    <t>I10</t>
  </si>
  <si>
    <t>startDateTime = null</t>
  </si>
  <si>
    <t>I11</t>
  </si>
  <si>
    <t>therapistId ไม่มีอยู่</t>
  </si>
  <si>
    <t>I12</t>
  </si>
  <si>
    <t>หมอนวด isActive = false</t>
  </si>
  <si>
    <t>I13</t>
  </si>
  <si>
    <t>หมอนวดไม่มีทักษะบริการนี้</t>
  </si>
  <si>
    <t>Test Case Design and Test Results</t>
  </si>
  <si>
    <t xml:space="preserve">Project Name: </t>
  </si>
  <si>
    <t>BookingServiceImpl.createBooking – ข้อมูลนำเข้าและผู้ทำรายการ</t>
  </si>
  <si>
    <t xml:space="preserve">Student ID: </t>
  </si>
  <si>
    <t xml:space="preserve">Test Strategy: </t>
  </si>
  <si>
    <t>Functional testing - Weak Robust Equivalence Class Testing</t>
  </si>
  <si>
    <t xml:space="preserve">Designer: </t>
  </si>
  <si>
    <t xml:space="preserve">Test Environtment: </t>
  </si>
  <si>
    <t>Lenovo LOQ 15AHP11, CPU AMD Ryzen 7 250, Memory 16 GB DDR5, GPU NVIDIA GeForce RTX 5050 Laptop, OS Window 11</t>
  </si>
  <si>
    <t>Date:</t>
  </si>
  <si>
    <t>09/10/2026</t>
  </si>
  <si>
    <t xml:space="preserve">Method under test: </t>
  </si>
  <si>
    <t>BookingResponseDTO createBooking(BookingRequestDTO requestDTO, User currentUser)</t>
  </si>
  <si>
    <t xml:space="preserve">Requirement อ้างอิง: </t>
  </si>
  <si>
    <t>UC-07 Preconditions • BR-RES-04 • SRS 3.3</t>
  </si>
  <si>
    <t>Test Case ID</t>
  </si>
  <si>
    <t>Input</t>
  </si>
  <si>
    <t>Expected Result</t>
  </si>
  <si>
    <t>Actual Result</t>
  </si>
  <si>
    <t>Status (Pass/Fail/No run)</t>
  </si>
  <si>
    <t>currentUser</t>
  </si>
  <si>
    <t>customerId</t>
  </si>
  <si>
    <t>serviceId</t>
  </si>
  <si>
    <t>durationOptionId</t>
  </si>
  <si>
    <t>therapistId</t>
  </si>
  <si>
    <t>startDateTime</t>
  </si>
  <si>
    <t>UT01-TC001</t>
  </si>
  <si>
    <t>Customer#1</t>
  </si>
  <si>
    <t>−</t>
  </si>
  <si>
    <t>1</t>
  </si>
  <si>
    <t>11</t>
  </si>
  <si>
    <t>5</t>
  </si>
  <si>
    <t>09/11 15:30</t>
  </si>
  <si>
    <t>(V1,V3–V6) สร้างสำเร็จ: status = PENDING, bookingChannel = ONLINE, totalPrice = 600.00, end = 16:30, therapist = T5, room เป็นห้อง SINGLE, bookingReferenceCode รูปแบบ BK-yyyyMMdd-XXXXXX, save ถูกเรียก 1 ครั้ง</t>
  </si>
  <si>
    <t>UT01-TC002</t>
  </si>
  <si>
    <t>Receptionist#50</t>
  </si>
  <si>
    <t>null</t>
  </si>
  <si>
    <t>(V2,V6) สร้างสำเร็จ: status = CONFIRMED, bookingChannel = WALK_IN, therapist ถูกจัดสรรอัตโนมัติและมีทักษะ S1</t>
  </si>
  <si>
    <t>UT01-TC003</t>
  </si>
  <si>
    <t>BusinessException 401</t>
  </si>
  <si>
    <t>UT01-TC004</t>
  </si>
  <si>
    <t>Customer#9 (ไม่มีโปรไฟล์)</t>
  </si>
  <si>
    <t>NotFoundException</t>
  </si>
  <si>
    <t>UT01-TC005</t>
  </si>
  <si>
    <t>ValidationException "Customer ID is required..."</t>
  </si>
  <si>
    <t>ValidationException</t>
  </si>
  <si>
    <t>UT01-TC006</t>
  </si>
  <si>
    <t>999</t>
  </si>
  <si>
    <t>UT01-TC007</t>
  </si>
  <si>
    <t>UT01-TC008</t>
  </si>
  <si>
    <t>3</t>
  </si>
  <si>
    <t>31</t>
  </si>
  <si>
    <t>ValidationException "Selected service is inactive"</t>
  </si>
  <si>
    <t>UT01-TC009</t>
  </si>
  <si>
    <t>UT01-TC010</t>
  </si>
  <si>
    <t>21</t>
  </si>
  <si>
    <t>ValidationException "Duration option does not belong..."</t>
  </si>
  <si>
    <t>UT01-TC011</t>
  </si>
  <si>
    <t>12</t>
  </si>
  <si>
    <t>ValidationException "Selected duration option is inactive"</t>
  </si>
  <si>
    <t>UT01-TC012</t>
  </si>
  <si>
    <t>ValidationException "Start date time is required"</t>
  </si>
  <si>
    <t>UT01-TC013</t>
  </si>
  <si>
    <t>UT01-TC014</t>
  </si>
  <si>
    <t>7</t>
  </si>
  <si>
    <t>ValidationException "Selected therapist is inactive"</t>
  </si>
  <si>
    <t>UT01-TC015</t>
  </si>
  <si>
    <t>6</t>
  </si>
  <si>
    <t>ValidationException "...does not possess the skill..."</t>
  </si>
  <si>
    <t>Rule#1</t>
  </si>
  <si>
    <t>Rule#2</t>
  </si>
  <si>
    <t>Rule#3</t>
  </si>
  <si>
    <t>Rule#4</t>
  </si>
  <si>
    <t>Rule#5</t>
  </si>
  <si>
    <t>Rule#6</t>
  </si>
  <si>
    <t>Rule#7</t>
  </si>
  <si>
    <t>Rule#8</t>
  </si>
  <si>
    <t>C1: ระบุ therapistId</t>
  </si>
  <si>
    <t>Y</t>
  </si>
  <si>
    <t>N</t>
  </si>
  <si>
    <t>C2: หมอนวดที่ระบุไม่พร้อม (isDayOff หรือเวลาจองอยู่นอกกะ)</t>
  </si>
  <si>
    <t>C3: หมอนวดที่ระบุมีคิวทับ</t>
  </si>
  <si>
    <t>C4: (ไม่ระบุ) มีหมอนวดที่มีทักษะ ไม่หยุด และว่าง ≥ 1 คน</t>
  </si>
  <si>
    <t>C5: ระบุ roomId</t>
  </si>
  <si>
    <t>C6: ห้องที่ระบุ active และประเภทตรงบริการ</t>
  </si>
  <si>
    <t>C7: ห้องที่ระบุ/ห้องผู้สมัครว่าง (รวม buffer)</t>
  </si>
  <si>
    <t>Action</t>
  </si>
  <si>
    <t>A1: ConflictException หมอนวดหยุด/นอกกะ</t>
  </si>
  <si>
    <t>X</t>
  </si>
  <si>
    <t>A2: ConflictException หมอนวดไม่ว่าง</t>
  </si>
  <si>
    <t>A3: ConflictException ไม่มีหมอนวดว่าง</t>
  </si>
  <si>
    <t>A4: ValidationException ห้องปิด/ประเภทไม่ตรง</t>
  </si>
  <si>
    <t>A5: ConflictException ห้องไม่ว่าง/ไม่มีห้องว่าง</t>
  </si>
  <si>
    <t>A6: save Booking พร้อม therapist + room</t>
  </si>
  <si>
    <t>Impossible</t>
  </si>
  <si>
    <t>ทุก rule ที่ไม่ใช่ A6 ต้องไม่เรียก bookingRepository.save</t>
  </si>
  <si>
    <t>BookingServiceImpl.createBooking – จัดสรรหมอนวดและห้อง</t>
  </si>
  <si>
    <t>673380049-4</t>
  </si>
  <si>
    <t>Functional testing - Decision Table (Limited Entry)</t>
  </si>
  <si>
    <t>Piyachayanin</t>
  </si>
  <si>
    <t>createBooking(...) ส่วนที่ 3 (หมอนวด) และ 4 (ห้อง + cleaning buffer 15 นาที)</t>
  </si>
  <si>
    <t>UC-07 A1, E2, E3 • UC-08a/08b • BR-BKG-01 • BR-RES-03 (buffer 15 นาที)</t>
  </si>
  <si>
    <t>Rule#</t>
  </si>
  <si>
    <t>roomId</t>
  </si>
  <si>
    <t>สภาพข้อมูล (mock)</t>
  </si>
  <si>
    <t>R1</t>
  </si>
  <si>
    <t>UT02-TC001</t>
  </si>
  <si>
    <t>T5 isDayOff = true วันที่ 09/11</t>
  </si>
  <si>
    <t>UT02-TC002</t>
  </si>
  <si>
    <t>T5 มีกะ 10:00–14:00 แต่จอง 15:30–16:30</t>
  </si>
  <si>
    <t>R2</t>
  </si>
  <si>
    <t>UT02-TC003</t>
  </si>
  <si>
    <t>T5 มีคิว 15:00–16:00 สถานะ CONFIRMED</t>
  </si>
  <si>
    <t>ConflictException "...already booked..."</t>
  </si>
  <si>
    <t>R3</t>
  </si>
  <si>
    <t>UT02-TC004</t>
  </si>
  <si>
    <t>ผู้มีทักษะ S1 มีแค่ T5, T8 — T5 หยุด, T8 มีคิวทับ</t>
  </si>
  <si>
    <t>ConflictException "No therapists available..."</t>
  </si>
  <si>
    <t>R4</t>
  </si>
  <si>
    <t>UT02-TC005</t>
  </si>
  <si>
    <t>201 (COUPLE)</t>
  </si>
  <si>
    <t>T5 ว่าง</t>
  </si>
  <si>
    <t>ValidationException "Selected room type COUPLE is not suitable..."</t>
  </si>
  <si>
    <t>UT02-TC006</t>
  </si>
  <si>
    <t>103 (inactive)</t>
  </si>
  <si>
    <t>ValidationException "Selected room is inactive"</t>
  </si>
  <si>
    <t>R5</t>
  </si>
  <si>
    <t>UT02-TC007</t>
  </si>
  <si>
    <t>101</t>
  </si>
  <si>
    <t>R101 มีคิว 14:00–15:20</t>
  </si>
  <si>
    <t>ConflictException "Room R101 is occupied or undergoing cleaning buffer..."</t>
  </si>
  <si>
    <t>R6</t>
  </si>
  <si>
    <t>UT02-TC008</t>
  </si>
  <si>
    <t>102</t>
  </si>
  <si>
    <t>T5 และ R102 ว่าง</t>
  </si>
  <si>
    <t>สำเร็จ: therapist = T5, room = R102</t>
  </si>
  <si>
    <t>R7</t>
  </si>
  <si>
    <t>UT02-TC009</t>
  </si>
  <si>
    <t>T8 ว่าง • R101, R102 ไม่ว่าง</t>
  </si>
  <si>
    <t>ConflictException "No suitable rooms available..."</t>
  </si>
  <si>
    <t>R8</t>
  </si>
  <si>
    <t>UT02-TC010</t>
  </si>
  <si>
    <t>T5 หยุด, T8 ว่าง • R101 ไม่ว่าง, R102 ว่าง</t>
  </si>
  <si>
    <t>สำเร็จ: therapist = T8 (ข้ามคนที่หยุด), room = R102 (ข้ามห้องไม่ว่างและห้อง COUPLE)</t>
  </si>
  <si>
    <t>ConflictException</t>
  </si>
  <si>
    <t>สำเร็จ: therapist = T8 , room = R102</t>
  </si>
  <si>
    <t>Not Throws ConflictException</t>
  </si>
  <si>
    <t>ConflictException หมอนวดนอกกะ</t>
  </si>
  <si>
    <t>Defect No</t>
  </si>
  <si>
    <t>Defect Title</t>
  </si>
  <si>
    <t>Report Date</t>
  </si>
  <si>
    <t>Fix date</t>
  </si>
  <si>
    <t>Reporter</t>
  </si>
  <si>
    <t>Defect Status</t>
  </si>
  <si>
    <t>Defect Severity</t>
  </si>
  <si>
    <t>Defect Priority</t>
  </si>
  <si>
    <t>Closed By</t>
  </si>
  <si>
    <t>Defect Details</t>
  </si>
  <si>
    <t>DEF-001</t>
  </si>
  <si>
    <t>Open</t>
  </si>
  <si>
    <t>High</t>
  </si>
  <si>
    <t>จองหมอนวดนอกกะทำงานได้ (ตรวจแค่ isDayOff)</t>
  </si>
  <si>
    <t>service/impl/BookingServiceImpl.java และ AvailabilityServiceImpl.java ไม่เทียบ WorkShift • ผิด UC-08b • UT02-TC002</t>
  </si>
  <si>
    <t>UT02 – BookingServiceImpl.createBooking – จัดสรรหมอนวดและห้อง</t>
  </si>
  <si>
    <t>Decision Table (Limited Entry)</t>
  </si>
  <si>
    <t>lead (นาทีล่วงหน้า)</t>
  </si>
  <si>
    <t>เวลาเริ่ม (บริการ 60 นาที)</t>
  </si>
  <si>
    <t>min-</t>
  </si>
  <si>
    <t>29</t>
  </si>
  <si>
    <t>09:59</t>
  </si>
  <si>
    <t>BookingServiceImpl.createBooking – ช่วงเวลาที่จองได้</t>
  </si>
  <si>
    <t>min</t>
  </si>
  <si>
    <t>30</t>
  </si>
  <si>
    <t>10:00</t>
  </si>
  <si>
    <t>Functional testing - Robustness Testing</t>
  </si>
  <si>
    <t>min+</t>
  </si>
  <si>
    <t>10:01</t>
  </si>
  <si>
    <t>nom</t>
  </si>
  <si>
    <t>10110</t>
  </si>
  <si>
    <t>15:30</t>
  </si>
  <si>
    <t>createBooking(...) – เงื่อนไขของ startDateTime</t>
  </si>
  <si>
    <t>max-</t>
  </si>
  <si>
    <t>20159</t>
  </si>
  <si>
    <t>20:59</t>
  </si>
  <si>
    <t>20160</t>
  </si>
  <si>
    <t>21:00</t>
  </si>
  <si>
    <t>BR-BKG-02 Operating Hours • BR-BKG-03 (ล่วงหน้า ≥ 30 นาที) • SRS 3.3 Step 2 (สูงสุด 14 วัน) • ดู Q2</t>
  </si>
  <si>
    <t>max+</t>
  </si>
  <si>
    <t>20161</t>
  </si>
  <si>
    <t>21:01</t>
  </si>
  <si>
    <t>lead (นาที)</t>
  </si>
  <si>
    <t>เวลาเริ่ม</t>
  </si>
  <si>
    <t>UT03-TC001</t>
  </si>
  <si>
    <t>2026-11-09 15:30</t>
  </si>
  <si>
    <t>สร้างสำเร็จ status = PENDING</t>
  </si>
  <si>
    <t>UT03-TC002</t>
  </si>
  <si>
    <t>2026-11-02 15:29</t>
  </si>
  <si>
    <t>15:29</t>
  </si>
  <si>
    <t>ValidationException ต้องจองล่วงหน้าอย่างน้อย 30 นาที</t>
  </si>
  <si>
    <t>UT03-TC003</t>
  </si>
  <si>
    <t>2026-11-02 15:30</t>
  </si>
  <si>
    <t>สร้างสำเร็จ</t>
  </si>
  <si>
    <t>UT03-TC004</t>
  </si>
  <si>
    <t>2026-11-02 15:31</t>
  </si>
  <si>
    <t>15:31</t>
  </si>
  <si>
    <t>UT03-TC005</t>
  </si>
  <si>
    <t>2026-11-16 14:59</t>
  </si>
  <si>
    <t>14:59</t>
  </si>
  <si>
    <t>UT03-TC006</t>
  </si>
  <si>
    <t>2026-11-16 15:00</t>
  </si>
  <si>
    <t>15:00</t>
  </si>
  <si>
    <t>UT03-TC007</t>
  </si>
  <si>
    <t>2026-11-16 15:01</t>
  </si>
  <si>
    <t>15:01</t>
  </si>
  <si>
    <t>ValidationException จองล่วงหน้าได้ไม่เกิน 14 วัน</t>
  </si>
  <si>
    <t>UT03-TC008</t>
  </si>
  <si>
    <t>2026-11-09 09:59</t>
  </si>
  <si>
    <t>9779</t>
  </si>
  <si>
    <t>ValidationException เริ่มก่อนร้านเปิด</t>
  </si>
  <si>
    <t>UT03-TC009</t>
  </si>
  <si>
    <t>2026-11-09 10:00</t>
  </si>
  <si>
    <t>9780</t>
  </si>
  <si>
    <t>UT03-TC010</t>
  </si>
  <si>
    <t>2026-11-09 10:01</t>
  </si>
  <si>
    <t>9781</t>
  </si>
  <si>
    <t>UT03-TC011</t>
  </si>
  <si>
    <t>2026-11-09 20:59</t>
  </si>
  <si>
    <t>10439</t>
  </si>
  <si>
    <t>UT03-TC012</t>
  </si>
  <si>
    <t>2026-11-09 21:00</t>
  </si>
  <si>
    <t>10440</t>
  </si>
  <si>
    <t>สร้างสำเร็จ (จบ 22:00 พอดี)</t>
  </si>
  <si>
    <t>UT03-TC013</t>
  </si>
  <si>
    <t>2026-11-09 21:01</t>
  </si>
  <si>
    <t>10441</t>
  </si>
  <si>
    <t>ValidationException จบ 22:01 เกินเวลาปิดร้าน</t>
  </si>
  <si>
    <t>UT03 – BookingServiceImpl.createBooking – ช่วงเวลาที่จองได้</t>
  </si>
  <si>
    <t>Robustness Testing</t>
  </si>
  <si>
    <t>DEF-002</t>
  </si>
  <si>
    <t>createBooking ไม่ตรวจเวลา: จองย้อนหลัง, จองกระชั้นกว่า 30 นาที, เกิน 14 วัน, นอกเวลาทำการได้</t>
  </si>
  <si>
    <t>service/impl/BookingServiceImpl.java startDateTime ≠ null • ผิด BR-BKG-02, BR-BKG-03 • UT03-TC002, TC007, TC008, TC013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</si>
</sst>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Aptos Narrow"/>
      <family val="2"/>
      <charset val="222"/>
      <scheme val="minor"/>
    </font>
    <font>
      <b/>
      <sz val="16"/>
      <name val="TH SarabunPSK"/>
      <family val="2"/>
    </font>
    <font>
      <sz val="11"/>
      <color theme="1"/>
      <name val="TH SarabunPSK"/>
      <family val="2"/>
    </font>
    <font>
      <sz val="16"/>
      <name val="TH SarabunPSK"/>
      <family val="2"/>
    </font>
    <font>
      <b/>
      <sz val="16"/>
      <color rgb="FFFFFFFF"/>
      <name val="TH SarabunPSK"/>
      <family val="2"/>
    </font>
    <font>
      <b/>
      <sz val="18"/>
      <name val="TH SarabunPSK"/>
      <family val="2"/>
    </font>
    <font>
      <sz val="18"/>
      <color theme="1"/>
      <name val="TH SarabunPSK"/>
      <family val="2"/>
    </font>
    <font>
      <sz val="18"/>
      <name val="TH SarabunPSK"/>
      <family val="2"/>
    </font>
    <font>
      <i/>
      <sz val="18"/>
      <name val="TH SarabunPSK"/>
      <family val="2"/>
    </font>
  </fonts>
  <fills count="12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E7E6E6"/>
        <bgColor rgb="FFDDEBF7"/>
      </patternFill>
    </fill>
    <fill>
      <patternFill patternType="solid">
        <fgColor rgb="FF1F5C7A"/>
        <bgColor rgb="FF008080"/>
      </patternFill>
    </fill>
    <fill>
      <patternFill patternType="solid">
        <fgColor rgb="FF92D050"/>
        <bgColor rgb="FF969696"/>
      </patternFill>
    </fill>
    <fill>
      <patternFill patternType="solid">
        <fgColor rgb="FFFF0000"/>
        <bgColor rgb="FF993300"/>
      </patternFill>
    </fill>
    <fill>
      <patternFill patternType="solid">
        <fgColor rgb="FFC6EFCE"/>
        <bgColor rgb="FFDDEBF7"/>
      </patternFill>
    </fill>
    <fill>
      <patternFill patternType="solid">
        <fgColor rgb="FFDBDBDB"/>
        <bgColor rgb="FFD9E1F2"/>
      </patternFill>
    </fill>
    <fill>
      <patternFill patternType="solid">
        <fgColor rgb="FFDDEBF7"/>
        <bgColor rgb="FFD9E1F2"/>
      </patternFill>
    </fill>
    <fill>
      <patternFill patternType="solid">
        <fgColor rgb="FFD9E1F2"/>
        <bgColor rgb="FFDDEBF7"/>
      </patternFill>
    </fill>
    <fill>
      <patternFill patternType="solid">
        <fgColor rgb="FFFFC000"/>
        <bgColor rgb="FFFF9900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7">
    <xf numFmtId="0" fontId="0" fillId="0" borderId="0" xfId="0"/>
    <xf numFmtId="0" fontId="2" fillId="0" borderId="0" xfId="0" applyFont="1"/>
    <xf numFmtId="0" fontId="1" fillId="2" borderId="1" xfId="0" applyFont="1" applyFill="1" applyBorder="1" applyAlignment="1">
      <alignment horizontal="center" vertical="center" wrapText="1"/>
    </xf>
    <xf numFmtId="0" fontId="3" fillId="0" borderId="1" xfId="0" applyFont="1" applyBorder="1" applyAlignment="1">
      <alignment horizontal="center" vertical="center" wrapText="1"/>
    </xf>
    <xf numFmtId="0" fontId="3" fillId="0" borderId="1" xfId="0" applyFont="1" applyBorder="1" applyAlignment="1">
      <alignment horizontal="left" vertical="top" wrapText="1"/>
    </xf>
    <xf numFmtId="0" fontId="1" fillId="0" borderId="1" xfId="0" applyFont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6" fillId="0" borderId="0" xfId="0" applyFont="1"/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right" vertical="top" wrapText="1"/>
    </xf>
    <xf numFmtId="0" fontId="7" fillId="0" borderId="1" xfId="0" applyFont="1" applyBorder="1" applyAlignment="1">
      <alignment horizontal="left" vertical="top" wrapText="1"/>
    </xf>
    <xf numFmtId="0" fontId="7" fillId="9" borderId="1" xfId="0" applyFont="1" applyFill="1" applyBorder="1" applyAlignment="1">
      <alignment horizontal="left" vertical="top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vertical="top"/>
    </xf>
    <xf numFmtId="0" fontId="7" fillId="0" borderId="1" xfId="0" applyFont="1" applyBorder="1" applyAlignment="1">
      <alignment horizontal="center" vertical="center" wrapText="1"/>
    </xf>
    <xf numFmtId="0" fontId="5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center" vertical="center" wrapText="1"/>
    </xf>
    <xf numFmtId="0" fontId="7" fillId="10" borderId="1" xfId="0" applyFont="1" applyFill="1" applyBorder="1" applyAlignment="1">
      <alignment horizontal="left" vertical="top" wrapText="1"/>
    </xf>
    <xf numFmtId="0" fontId="6" fillId="0" borderId="1" xfId="0" applyFont="1" applyBorder="1"/>
    <xf numFmtId="0" fontId="5" fillId="11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3" borderId="1" xfId="0" applyFont="1" applyFill="1" applyBorder="1" applyAlignment="1">
      <alignment horizontal="left" vertical="top" wrapText="1"/>
    </xf>
    <xf numFmtId="0" fontId="5" fillId="7" borderId="0" xfId="0" applyFont="1" applyFill="1" applyAlignment="1">
      <alignment horizontal="center" vertical="center" wrapText="1"/>
    </xf>
    <xf numFmtId="0" fontId="5" fillId="8" borderId="2" xfId="0" applyFont="1" applyFill="1" applyBorder="1" applyAlignment="1">
      <alignment horizontal="center" vertical="center" wrapText="1"/>
    </xf>
    <xf numFmtId="0" fontId="5" fillId="3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horizontal="left" vertical="top" wrapText="1"/>
    </xf>
    <xf numFmtId="0" fontId="5" fillId="2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7" fillId="0" borderId="1" xfId="0" applyFont="1" applyBorder="1" applyAlignment="1">
      <alignment horizontal="left" vertical="top" wrapText="1"/>
    </xf>
    <xf numFmtId="0" fontId="8" fillId="0" borderId="0" xfId="0" applyFont="1" applyAlignment="1">
      <alignment horizontal="left" vertical="top" wrapText="1"/>
    </xf>
    <xf numFmtId="0" fontId="7" fillId="0" borderId="3" xfId="0" applyFont="1" applyBorder="1" applyAlignment="1">
      <alignment horizontal="left" vertical="top" wrapText="1"/>
    </xf>
    <xf numFmtId="0" fontId="7" fillId="0" borderId="4" xfId="0" applyFont="1" applyBorder="1" applyAlignment="1">
      <alignment horizontal="left" vertical="top" wrapText="1"/>
    </xf>
    <xf numFmtId="0" fontId="7" fillId="0" borderId="5" xfId="0" applyFont="1" applyBorder="1" applyAlignment="1">
      <alignment horizontal="left" vertical="top" wrapText="1"/>
    </xf>
  </cellXfs>
  <cellStyles count="1">
    <cellStyle name="Normal" xfId="0" builtinId="0"/>
  </cellStyles>
  <dxfs count="12"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rgb="FF92D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../Downloads/FIWDEE_UnitTest_Code/FIWDEE_UnitTest_Design_v2.xlsx" TargetMode="External"/><Relationship Id="rId2" Type="http://schemas.openxmlformats.org/officeDocument/2006/relationships/externalLinkPath" Target="file:///C:\Users\User\Downloads\FIWDEE_UnitTest_Code\FIWDEE_UnitTest_Design_v2.xlsx" TargetMode="External"/><Relationship Id="rId1" Type="http://schemas.openxmlformats.org/officeDocument/2006/relationships/externalLinkPath" Target="/Users/User/Downloads/FIWDEE_UnitTest_Code/FIWDEE_UnitTest_Design_v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Test Summary"/>
      <sheetName val="Test Approach"/>
      <sheetName val="Defect Summary"/>
      <sheetName val="UT01_CreateBooking_EC"/>
      <sheetName val="UT02_CreateBooking_DT"/>
      <sheetName val="UT03_CreateBooking_Time_BVA"/>
      <sheetName val="UT04_Overlap_Buffer_BVA"/>
      <sheetName val="UT05_CancelBooking_DT"/>
      <sheetName val="UT06_Cancel_2h_BVA"/>
      <sheetName val="UT07_GetBookingById_DT"/>
      <sheetName val="UT08_BookingState_DT"/>
      <sheetName val="UT09_StateFactory_EC"/>
      <sheetName val="UT10_Availability_BVA"/>
      <sheetName val="UT11_Availability_EC"/>
      <sheetName val="UT12_BookingMapper_EC"/>
      <sheetName val="UT13_ProcessPayment_DT"/>
      <sheetName val="UT14_Payment_Promo_Status_EC"/>
      <sheetName val="UT15_FixedDiscount_BVA"/>
      <sheetName val="UT16_PercentDiscount_EC"/>
      <sheetName val="UT17_DiscountFactory_EC"/>
      <sheetName val="UT18_PaymentStrategy_EC"/>
      <sheetName val="UT19_Refund_Amount_BVA"/>
      <sheetName val="UT20_Refund_EC"/>
      <sheetName val="UT21_CheckIn_Window_BVA"/>
      <sheetName val="UT22_CheckIn_Queue_EC"/>
      <sheetName val="UT23_QueueStatus_DT"/>
      <sheetName val="UT24_TherapistExec_DT"/>
      <sheetName val="UT25_Review_Rating_BVA"/>
      <sheetName val="UT26_Review_EC"/>
      <sheetName val="UT27_Login_DT"/>
      <sheetName val="UT28_Register_EC"/>
      <sheetName val="UT29_UpdateProfile_DT"/>
      <sheetName val="UT30_UserSession_BVA"/>
      <sheetName val="UT31_JwtToken_EC"/>
      <sheetName val="UT32_RoomService_EC"/>
      <sheetName val="UT33_ServiceCatalog_EC"/>
      <sheetName val="UT34_Schedule_Shift_BVA"/>
      <sheetName val="UT35_ShopHours_BVA"/>
      <sheetName val="UT36_RevenueReport_BVA"/>
      <sheetName val="Open Questions"/>
    </sheetNames>
    <sheetDataSet>
      <sheetData sheetId="0"/>
      <sheetData sheetId="1"/>
      <sheetData sheetId="2"/>
      <sheetData sheetId="3"/>
      <sheetData sheetId="4">
        <row r="29">
          <cell r="H29" t="str">
            <v>No run</v>
          </cell>
        </row>
        <row r="30">
          <cell r="H30" t="str">
            <v>No run</v>
          </cell>
        </row>
        <row r="31">
          <cell r="H31" t="str">
            <v>No run</v>
          </cell>
        </row>
        <row r="32">
          <cell r="H32" t="str">
            <v>No run</v>
          </cell>
        </row>
        <row r="33">
          <cell r="H33" t="str">
            <v>No run</v>
          </cell>
        </row>
        <row r="34">
          <cell r="H34" t="str">
            <v>No run</v>
          </cell>
        </row>
        <row r="35">
          <cell r="H35" t="str">
            <v>No run</v>
          </cell>
        </row>
        <row r="36">
          <cell r="H36" t="str">
            <v>No run</v>
          </cell>
        </row>
        <row r="37">
          <cell r="H37" t="str">
            <v>No run</v>
          </cell>
        </row>
        <row r="38">
          <cell r="H38" t="str">
            <v>No run</v>
          </cell>
        </row>
      </sheetData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9A469D-55E7-4F16-B797-78C1D60B492C}">
  <dimension ref="A1:I7"/>
  <sheetViews>
    <sheetView tabSelected="1" workbookViewId="0">
      <selection activeCell="I13" sqref="I13"/>
    </sheetView>
  </sheetViews>
  <sheetFormatPr defaultRowHeight="16.5"/>
  <cols>
    <col min="1" max="1" width="5.25" customWidth="1"/>
    <col min="2" max="2" width="50.75" customWidth="1"/>
    <col min="3" max="3" width="40.25" customWidth="1"/>
    <col min="4" max="4" width="13.125" customWidth="1"/>
    <col min="5" max="8" width="7.875" customWidth="1"/>
    <col min="9" max="9" width="26.25" customWidth="1"/>
  </cols>
  <sheetData>
    <row r="1" spans="1:9" ht="21">
      <c r="A1" s="24" t="s">
        <v>0</v>
      </c>
      <c r="B1" s="24"/>
      <c r="C1" s="24"/>
      <c r="D1" s="24"/>
      <c r="E1" s="24"/>
      <c r="F1" s="24"/>
      <c r="G1" s="1"/>
      <c r="H1" s="1"/>
      <c r="I1" s="1"/>
    </row>
    <row r="2" spans="1:9" ht="4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</row>
    <row r="3" spans="1:9" ht="21">
      <c r="A3" s="25" t="s">
        <v>10</v>
      </c>
      <c r="B3" s="25"/>
      <c r="C3" s="25"/>
      <c r="D3" s="25"/>
      <c r="E3" s="25"/>
      <c r="F3" s="25"/>
      <c r="G3" s="25"/>
      <c r="H3" s="25"/>
      <c r="I3" s="25"/>
    </row>
    <row r="4" spans="1:9" ht="42">
      <c r="A4" s="3">
        <v>1</v>
      </c>
      <c r="B4" s="4" t="s">
        <v>11</v>
      </c>
      <c r="C4" s="4" t="s">
        <v>12</v>
      </c>
      <c r="D4" s="3">
        <f>COUNTA(UT01_CreateBooking_EC!$A$28:$A$42)</f>
        <v>15</v>
      </c>
      <c r="E4" s="3">
        <f>COUNTIF(UT01_CreateBooking_EC!$J$28:$J$42,"Pass")</f>
        <v>15</v>
      </c>
      <c r="F4" s="3">
        <f>COUNTIF(UT01_CreateBooking_EC!$J$28:$J$42,"Fail")</f>
        <v>0</v>
      </c>
      <c r="G4" s="3">
        <f>COUNTIF(UT01_CreateBooking_EC!$J$28:$J$42,"No run")</f>
        <v>0</v>
      </c>
      <c r="H4" s="3">
        <f>COUNTIF(UT01_CreateBooking_EC!$J$28:$J$42,"Block")</f>
        <v>0</v>
      </c>
      <c r="I4" s="4"/>
    </row>
    <row r="5" spans="1:9" ht="64.5" customHeight="1">
      <c r="A5" s="3">
        <v>2</v>
      </c>
      <c r="B5" s="4" t="s">
        <v>220</v>
      </c>
      <c r="C5" s="4" t="s">
        <v>221</v>
      </c>
      <c r="D5" s="3">
        <f>COUNTA(UT02_CreateBooking_DT!$B$29:$B$38)</f>
        <v>10</v>
      </c>
      <c r="E5" s="3">
        <f>COUNTIF(UT02_CreateBooking_DT!$H$29:$H$38,"Pass")</f>
        <v>9</v>
      </c>
      <c r="F5" s="3">
        <f>COUNTIF(UT02_CreateBooking_DT!$H$29:$H$38,"Fail")</f>
        <v>1</v>
      </c>
      <c r="G5" s="3">
        <f>COUNTIF(UT02_CreateBooking_DT!$H$29:$H$38,"No run")</f>
        <v>0</v>
      </c>
      <c r="H5" s="3">
        <f>COUNTIF([1]UT02_CreateBooking_DT!$H$29:$H$38,"Block")</f>
        <v>0</v>
      </c>
      <c r="I5" s="4" t="s">
        <v>215</v>
      </c>
    </row>
    <row r="6" spans="1:9" ht="64.5" customHeight="1">
      <c r="A6" s="3">
        <v>3</v>
      </c>
      <c r="B6" s="4" t="s">
        <v>293</v>
      </c>
      <c r="C6" s="4" t="s">
        <v>294</v>
      </c>
      <c r="D6" s="3">
        <f>COUNTA(UT03_CreateBooking_Time_BVA!$A$11:$A$23)</f>
        <v>13</v>
      </c>
      <c r="E6" s="3">
        <f>COUNTIF(UT03_CreateBooking_Time_BVA!$G$11:$G$23,"Pass")</f>
        <v>9</v>
      </c>
      <c r="F6" s="3">
        <f>COUNTIF(UT03_CreateBooking_Time_BVA!$G$11:$G$23,"Fail")</f>
        <v>4</v>
      </c>
      <c r="G6" s="3">
        <f>COUNTIF(UT03_CreateBooking_Time_BVA!$G$11:$G$23,"No run")</f>
        <v>0</v>
      </c>
      <c r="H6" s="3">
        <f>COUNTIF(UT03_CreateBooking_Time_BVA!$G$11:$G$23,"Block")</f>
        <v>0</v>
      </c>
      <c r="I6" s="4" t="s">
        <v>295</v>
      </c>
    </row>
    <row r="7" spans="1:9" ht="21">
      <c r="A7" s="23" t="s">
        <v>13</v>
      </c>
      <c r="B7" s="23"/>
      <c r="C7" s="23"/>
      <c r="D7" s="5" cm="1">
        <f t="array" ref="D7">SUMPRODUCT(ISNUMBER(D4:D5)*D4:D5)</f>
        <v>25</v>
      </c>
      <c r="E7" s="6" cm="1">
        <f t="array" ref="E7">SUMPRODUCT(ISNUMBER(E4:E6)*E4:E6)</f>
        <v>33</v>
      </c>
      <c r="F7" s="7" cm="1">
        <f t="array" ref="F7">SUMPRODUCT(ISNUMBER(F4:F6)*F4:F6)</f>
        <v>5</v>
      </c>
      <c r="G7" s="5" cm="1">
        <f t="array" ref="G7">SUMPRODUCT(ISNUMBER(G4:G5)*G4:G5)</f>
        <v>0</v>
      </c>
      <c r="H7" s="5" cm="1">
        <f t="array" ref="H7">SUMPRODUCT(ISNUMBER(H4:H5)*H4:H5)</f>
        <v>0</v>
      </c>
      <c r="I7" s="4"/>
    </row>
  </sheetData>
  <mergeCells count="3">
    <mergeCell ref="A7:C7"/>
    <mergeCell ref="A1:F1"/>
    <mergeCell ref="A3:I3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487DA-3E1A-4257-93C8-4A8D94CB0F8A}">
  <dimension ref="A1:J42"/>
  <sheetViews>
    <sheetView topLeftCell="A6" workbookViewId="0">
      <selection activeCell="J21" sqref="J21"/>
    </sheetView>
  </sheetViews>
  <sheetFormatPr defaultColWidth="7.625" defaultRowHeight="23.25"/>
  <cols>
    <col min="1" max="1" width="19.25" style="8" customWidth="1"/>
    <col min="2" max="7" width="13.125" style="8" customWidth="1"/>
    <col min="8" max="8" width="40.25" style="8" customWidth="1"/>
    <col min="9" max="9" width="34.75" style="8" customWidth="1"/>
    <col min="10" max="10" width="14.875" style="8" customWidth="1"/>
    <col min="11" max="16384" width="7.625" style="8"/>
  </cols>
  <sheetData>
    <row r="1" spans="1:10" ht="24" thickBot="1">
      <c r="A1" s="26" t="s">
        <v>14</v>
      </c>
      <c r="B1" s="26"/>
      <c r="C1" s="26"/>
      <c r="D1" s="26"/>
      <c r="E1" s="26"/>
      <c r="F1" s="26"/>
      <c r="G1" s="26"/>
      <c r="H1" s="26"/>
      <c r="I1" s="26"/>
      <c r="J1" s="26"/>
    </row>
    <row r="2" spans="1:10" ht="24" thickBot="1">
      <c r="A2" s="9" t="s">
        <v>15</v>
      </c>
      <c r="F2" s="27" t="s">
        <v>16</v>
      </c>
      <c r="G2" s="27"/>
    </row>
    <row r="3" spans="1:10" ht="24" thickBot="1">
      <c r="A3" s="10" t="s">
        <v>17</v>
      </c>
      <c r="B3" s="28" t="s">
        <v>18</v>
      </c>
      <c r="C3" s="28"/>
      <c r="D3" s="28"/>
      <c r="F3" s="10" t="s">
        <v>17</v>
      </c>
      <c r="G3" s="28" t="s">
        <v>18</v>
      </c>
      <c r="H3" s="28"/>
      <c r="I3" s="28"/>
      <c r="J3" s="28"/>
    </row>
    <row r="4" spans="1:10" ht="24" thickBot="1">
      <c r="A4" s="11" t="s">
        <v>19</v>
      </c>
      <c r="B4" s="29" t="s">
        <v>20</v>
      </c>
      <c r="C4" s="29"/>
      <c r="D4" s="29"/>
      <c r="F4" s="11" t="s">
        <v>21</v>
      </c>
      <c r="G4" s="29" t="s">
        <v>22</v>
      </c>
      <c r="H4" s="29"/>
      <c r="I4" s="29"/>
      <c r="J4" s="29"/>
    </row>
    <row r="5" spans="1:10" ht="24" thickBot="1">
      <c r="A5" s="11" t="s">
        <v>23</v>
      </c>
      <c r="B5" s="29" t="s">
        <v>24</v>
      </c>
      <c r="C5" s="29"/>
      <c r="D5" s="29"/>
      <c r="F5" s="11" t="s">
        <v>25</v>
      </c>
      <c r="G5" s="29" t="s">
        <v>26</v>
      </c>
      <c r="H5" s="29"/>
      <c r="I5" s="29"/>
      <c r="J5" s="29"/>
    </row>
    <row r="6" spans="1:10" ht="24" thickBot="1">
      <c r="A6" s="11" t="s">
        <v>27</v>
      </c>
      <c r="B6" s="29" t="s">
        <v>28</v>
      </c>
      <c r="C6" s="29"/>
      <c r="D6" s="29"/>
      <c r="F6" s="11" t="s">
        <v>29</v>
      </c>
      <c r="G6" s="29" t="s">
        <v>30</v>
      </c>
      <c r="H6" s="29"/>
      <c r="I6" s="29"/>
      <c r="J6" s="29"/>
    </row>
    <row r="7" spans="1:10" ht="24" thickBot="1">
      <c r="A7" s="11" t="s">
        <v>31</v>
      </c>
      <c r="B7" s="29" t="s">
        <v>32</v>
      </c>
      <c r="C7" s="29"/>
      <c r="D7" s="29"/>
      <c r="F7" s="11" t="s">
        <v>33</v>
      </c>
      <c r="G7" s="29" t="s">
        <v>34</v>
      </c>
      <c r="H7" s="29"/>
      <c r="I7" s="29"/>
      <c r="J7" s="29"/>
    </row>
    <row r="8" spans="1:10" ht="24" thickBot="1">
      <c r="A8" s="11" t="s">
        <v>35</v>
      </c>
      <c r="B8" s="29" t="s">
        <v>36</v>
      </c>
      <c r="C8" s="29"/>
      <c r="D8" s="29"/>
      <c r="F8" s="11" t="s">
        <v>37</v>
      </c>
      <c r="G8" s="29" t="s">
        <v>38</v>
      </c>
      <c r="H8" s="29"/>
      <c r="I8" s="29"/>
      <c r="J8" s="29"/>
    </row>
    <row r="9" spans="1:10" ht="24" thickBot="1">
      <c r="A9" s="11" t="s">
        <v>39</v>
      </c>
      <c r="B9" s="29" t="s">
        <v>40</v>
      </c>
      <c r="C9" s="29"/>
      <c r="D9" s="29"/>
      <c r="F9" s="11" t="s">
        <v>41</v>
      </c>
      <c r="G9" s="29" t="s">
        <v>42</v>
      </c>
      <c r="H9" s="29"/>
      <c r="I9" s="29"/>
      <c r="J9" s="29"/>
    </row>
    <row r="10" spans="1:10" ht="24" thickBot="1">
      <c r="F10" s="11" t="s">
        <v>43</v>
      </c>
      <c r="G10" s="29" t="s">
        <v>44</v>
      </c>
      <c r="H10" s="29"/>
      <c r="I10" s="29"/>
      <c r="J10" s="29"/>
    </row>
    <row r="11" spans="1:10" ht="24" thickBot="1">
      <c r="F11" s="11" t="s">
        <v>45</v>
      </c>
      <c r="G11" s="29" t="s">
        <v>46</v>
      </c>
      <c r="H11" s="29"/>
      <c r="I11" s="29"/>
      <c r="J11" s="29"/>
    </row>
    <row r="12" spans="1:10" ht="24" thickBot="1">
      <c r="F12" s="11" t="s">
        <v>47</v>
      </c>
      <c r="G12" s="29" t="s">
        <v>48</v>
      </c>
      <c r="H12" s="29"/>
      <c r="I12" s="29"/>
      <c r="J12" s="29"/>
    </row>
    <row r="13" spans="1:10" ht="24" thickBot="1">
      <c r="F13" s="11" t="s">
        <v>49</v>
      </c>
      <c r="G13" s="29" t="s">
        <v>50</v>
      </c>
      <c r="H13" s="29"/>
      <c r="I13" s="29"/>
      <c r="J13" s="29"/>
    </row>
    <row r="14" spans="1:10" ht="24" thickBot="1">
      <c r="F14" s="11" t="s">
        <v>51</v>
      </c>
      <c r="G14" s="29" t="s">
        <v>52</v>
      </c>
      <c r="H14" s="29"/>
      <c r="I14" s="29"/>
      <c r="J14" s="29"/>
    </row>
    <row r="15" spans="1:10" ht="24" thickBot="1">
      <c r="F15" s="11" t="s">
        <v>53</v>
      </c>
      <c r="G15" s="29" t="s">
        <v>54</v>
      </c>
      <c r="H15" s="29"/>
      <c r="I15" s="29"/>
      <c r="J15" s="29"/>
    </row>
    <row r="16" spans="1:10" ht="24" thickBot="1">
      <c r="F16" s="11" t="s">
        <v>55</v>
      </c>
      <c r="G16" s="29" t="s">
        <v>56</v>
      </c>
      <c r="H16" s="29"/>
      <c r="I16" s="29"/>
      <c r="J16" s="29"/>
    </row>
    <row r="18" spans="1:10">
      <c r="A18" s="30" t="s">
        <v>57</v>
      </c>
      <c r="B18" s="30"/>
      <c r="C18" s="30"/>
      <c r="D18" s="30"/>
      <c r="E18" s="30"/>
      <c r="F18" s="30"/>
      <c r="G18" s="30"/>
      <c r="H18" s="30"/>
      <c r="I18" s="30"/>
      <c r="J18" s="30"/>
    </row>
    <row r="20" spans="1:10">
      <c r="A20" s="12" t="s">
        <v>58</v>
      </c>
      <c r="B20" s="32" t="s">
        <v>59</v>
      </c>
      <c r="C20" s="32"/>
      <c r="D20" s="32"/>
      <c r="E20" s="32"/>
      <c r="F20" s="32"/>
      <c r="G20" s="32"/>
      <c r="H20" s="32"/>
      <c r="I20" s="12" t="s">
        <v>60</v>
      </c>
      <c r="J20" s="14" t="s">
        <v>154</v>
      </c>
    </row>
    <row r="21" spans="1:10">
      <c r="A21" s="12" t="s">
        <v>61</v>
      </c>
      <c r="B21" s="32" t="s">
        <v>62</v>
      </c>
      <c r="C21" s="32"/>
      <c r="D21" s="32"/>
      <c r="E21" s="32"/>
      <c r="F21" s="32"/>
      <c r="G21" s="32"/>
      <c r="H21" s="32"/>
      <c r="I21" s="12" t="s">
        <v>63</v>
      </c>
      <c r="J21" s="14" t="s">
        <v>156</v>
      </c>
    </row>
    <row r="22" spans="1:10" ht="46.5">
      <c r="A22" s="12" t="s">
        <v>64</v>
      </c>
      <c r="B22" s="32" t="s">
        <v>65</v>
      </c>
      <c r="C22" s="32"/>
      <c r="D22" s="32"/>
      <c r="E22" s="32"/>
      <c r="F22" s="32"/>
      <c r="G22" s="32"/>
      <c r="H22" s="32"/>
      <c r="I22" s="12" t="s">
        <v>66</v>
      </c>
      <c r="J22" s="13" t="s">
        <v>67</v>
      </c>
    </row>
    <row r="23" spans="1:10" ht="46.5">
      <c r="A23" s="12" t="s">
        <v>68</v>
      </c>
      <c r="B23" s="32" t="s">
        <v>69</v>
      </c>
      <c r="C23" s="32"/>
      <c r="D23" s="32"/>
      <c r="E23" s="32"/>
      <c r="F23" s="32"/>
      <c r="G23" s="32"/>
      <c r="H23" s="32"/>
      <c r="I23" s="32"/>
      <c r="J23" s="32"/>
    </row>
    <row r="24" spans="1:10" ht="46.5">
      <c r="A24" s="12" t="s">
        <v>70</v>
      </c>
      <c r="B24" s="32" t="s">
        <v>71</v>
      </c>
      <c r="C24" s="32"/>
      <c r="D24" s="32"/>
      <c r="E24" s="32"/>
      <c r="F24" s="32"/>
      <c r="G24" s="32"/>
      <c r="H24" s="32"/>
      <c r="I24" s="32"/>
      <c r="J24" s="32"/>
    </row>
    <row r="26" spans="1:10">
      <c r="A26" s="31" t="s">
        <v>72</v>
      </c>
      <c r="B26" s="31" t="s">
        <v>73</v>
      </c>
      <c r="C26" s="31"/>
      <c r="D26" s="31"/>
      <c r="E26" s="31"/>
      <c r="F26" s="31"/>
      <c r="G26" s="31"/>
      <c r="H26" s="31" t="s">
        <v>74</v>
      </c>
      <c r="I26" s="31" t="s">
        <v>75</v>
      </c>
      <c r="J26" s="31" t="s">
        <v>76</v>
      </c>
    </row>
    <row r="27" spans="1:10" ht="46.5">
      <c r="A27" s="31"/>
      <c r="B27" s="15" t="s">
        <v>77</v>
      </c>
      <c r="C27" s="15" t="s">
        <v>78</v>
      </c>
      <c r="D27" s="15" t="s">
        <v>79</v>
      </c>
      <c r="E27" s="15" t="s">
        <v>80</v>
      </c>
      <c r="F27" s="15" t="s">
        <v>81</v>
      </c>
      <c r="G27" s="15" t="s">
        <v>82</v>
      </c>
      <c r="H27" s="31"/>
      <c r="I27" s="31"/>
      <c r="J27" s="31"/>
    </row>
    <row r="28" spans="1:10" ht="162.75">
      <c r="A28" s="16" t="s">
        <v>83</v>
      </c>
      <c r="B28" s="13" t="s">
        <v>84</v>
      </c>
      <c r="C28" s="13" t="s">
        <v>85</v>
      </c>
      <c r="D28" s="13" t="s">
        <v>86</v>
      </c>
      <c r="E28" s="13" t="s">
        <v>87</v>
      </c>
      <c r="F28" s="13" t="s">
        <v>88</v>
      </c>
      <c r="G28" s="13" t="s">
        <v>89</v>
      </c>
      <c r="H28" s="13" t="s">
        <v>90</v>
      </c>
      <c r="I28" s="13" t="s">
        <v>90</v>
      </c>
      <c r="J28" s="17" t="s">
        <v>5</v>
      </c>
    </row>
    <row r="29" spans="1:10" ht="93">
      <c r="A29" s="16" t="s">
        <v>91</v>
      </c>
      <c r="B29" s="13" t="s">
        <v>92</v>
      </c>
      <c r="C29" s="13" t="s">
        <v>86</v>
      </c>
      <c r="D29" s="13" t="s">
        <v>86</v>
      </c>
      <c r="E29" s="13" t="s">
        <v>87</v>
      </c>
      <c r="F29" s="13" t="s">
        <v>93</v>
      </c>
      <c r="G29" s="13" t="s">
        <v>89</v>
      </c>
      <c r="H29" s="13" t="s">
        <v>94</v>
      </c>
      <c r="I29" s="13" t="s">
        <v>94</v>
      </c>
      <c r="J29" s="17" t="s">
        <v>5</v>
      </c>
    </row>
    <row r="30" spans="1:10">
      <c r="A30" s="16" t="s">
        <v>95</v>
      </c>
      <c r="B30" s="13" t="s">
        <v>93</v>
      </c>
      <c r="C30" s="13" t="s">
        <v>85</v>
      </c>
      <c r="D30" s="13" t="s">
        <v>86</v>
      </c>
      <c r="E30" s="13" t="s">
        <v>87</v>
      </c>
      <c r="F30" s="13" t="s">
        <v>88</v>
      </c>
      <c r="G30" s="13" t="s">
        <v>89</v>
      </c>
      <c r="H30" s="13" t="s">
        <v>96</v>
      </c>
      <c r="I30" s="13" t="s">
        <v>96</v>
      </c>
      <c r="J30" s="17" t="s">
        <v>5</v>
      </c>
    </row>
    <row r="31" spans="1:10" ht="46.5">
      <c r="A31" s="16" t="s">
        <v>97</v>
      </c>
      <c r="B31" s="13" t="s">
        <v>98</v>
      </c>
      <c r="C31" s="13" t="s">
        <v>85</v>
      </c>
      <c r="D31" s="13" t="s">
        <v>86</v>
      </c>
      <c r="E31" s="13" t="s">
        <v>87</v>
      </c>
      <c r="F31" s="13" t="s">
        <v>88</v>
      </c>
      <c r="G31" s="13" t="s">
        <v>89</v>
      </c>
      <c r="H31" s="13" t="s">
        <v>99</v>
      </c>
      <c r="I31" s="13" t="s">
        <v>99</v>
      </c>
      <c r="J31" s="17" t="s">
        <v>5</v>
      </c>
    </row>
    <row r="32" spans="1:10" ht="46.5">
      <c r="A32" s="16" t="s">
        <v>100</v>
      </c>
      <c r="B32" s="13" t="s">
        <v>92</v>
      </c>
      <c r="C32" s="13" t="s">
        <v>93</v>
      </c>
      <c r="D32" s="13" t="s">
        <v>86</v>
      </c>
      <c r="E32" s="13" t="s">
        <v>87</v>
      </c>
      <c r="F32" s="13" t="s">
        <v>88</v>
      </c>
      <c r="G32" s="13" t="s">
        <v>89</v>
      </c>
      <c r="H32" s="13" t="s">
        <v>101</v>
      </c>
      <c r="I32" s="13" t="s">
        <v>102</v>
      </c>
      <c r="J32" s="17" t="s">
        <v>5</v>
      </c>
    </row>
    <row r="33" spans="1:10" ht="46.5">
      <c r="A33" s="16" t="s">
        <v>103</v>
      </c>
      <c r="B33" s="13" t="s">
        <v>92</v>
      </c>
      <c r="C33" s="13" t="s">
        <v>104</v>
      </c>
      <c r="D33" s="13" t="s">
        <v>86</v>
      </c>
      <c r="E33" s="13" t="s">
        <v>87</v>
      </c>
      <c r="F33" s="13" t="s">
        <v>88</v>
      </c>
      <c r="G33" s="13" t="s">
        <v>89</v>
      </c>
      <c r="H33" s="13" t="s">
        <v>99</v>
      </c>
      <c r="I33" s="13" t="s">
        <v>99</v>
      </c>
      <c r="J33" s="17" t="s">
        <v>5</v>
      </c>
    </row>
    <row r="34" spans="1:10">
      <c r="A34" s="16" t="s">
        <v>105</v>
      </c>
      <c r="B34" s="13" t="s">
        <v>84</v>
      </c>
      <c r="C34" s="13" t="s">
        <v>85</v>
      </c>
      <c r="D34" s="13" t="s">
        <v>104</v>
      </c>
      <c r="E34" s="13" t="s">
        <v>87</v>
      </c>
      <c r="F34" s="13" t="s">
        <v>88</v>
      </c>
      <c r="G34" s="13" t="s">
        <v>89</v>
      </c>
      <c r="H34" s="13" t="s">
        <v>99</v>
      </c>
      <c r="I34" s="13" t="s">
        <v>99</v>
      </c>
      <c r="J34" s="17" t="s">
        <v>5</v>
      </c>
    </row>
    <row r="35" spans="1:10" ht="46.5">
      <c r="A35" s="16" t="s">
        <v>106</v>
      </c>
      <c r="B35" s="13" t="s">
        <v>84</v>
      </c>
      <c r="C35" s="13" t="s">
        <v>85</v>
      </c>
      <c r="D35" s="13" t="s">
        <v>107</v>
      </c>
      <c r="E35" s="13" t="s">
        <v>108</v>
      </c>
      <c r="F35" s="13" t="s">
        <v>88</v>
      </c>
      <c r="G35" s="13" t="s">
        <v>89</v>
      </c>
      <c r="H35" s="13" t="s">
        <v>109</v>
      </c>
      <c r="I35" s="13" t="s">
        <v>102</v>
      </c>
      <c r="J35" s="17" t="s">
        <v>5</v>
      </c>
    </row>
    <row r="36" spans="1:10">
      <c r="A36" s="16" t="s">
        <v>110</v>
      </c>
      <c r="B36" s="13" t="s">
        <v>84</v>
      </c>
      <c r="C36" s="13" t="s">
        <v>85</v>
      </c>
      <c r="D36" s="13" t="s">
        <v>86</v>
      </c>
      <c r="E36" s="13" t="s">
        <v>104</v>
      </c>
      <c r="F36" s="13" t="s">
        <v>88</v>
      </c>
      <c r="G36" s="13" t="s">
        <v>89</v>
      </c>
      <c r="H36" s="13" t="s">
        <v>99</v>
      </c>
      <c r="I36" s="13" t="s">
        <v>99</v>
      </c>
      <c r="J36" s="17" t="s">
        <v>5</v>
      </c>
    </row>
    <row r="37" spans="1:10" ht="46.5">
      <c r="A37" s="16" t="s">
        <v>111</v>
      </c>
      <c r="B37" s="13" t="s">
        <v>84</v>
      </c>
      <c r="C37" s="13" t="s">
        <v>85</v>
      </c>
      <c r="D37" s="13" t="s">
        <v>86</v>
      </c>
      <c r="E37" s="13" t="s">
        <v>112</v>
      </c>
      <c r="F37" s="13" t="s">
        <v>88</v>
      </c>
      <c r="G37" s="13" t="s">
        <v>89</v>
      </c>
      <c r="H37" s="13" t="s">
        <v>113</v>
      </c>
      <c r="I37" s="13" t="s">
        <v>102</v>
      </c>
      <c r="J37" s="17" t="s">
        <v>5</v>
      </c>
    </row>
    <row r="38" spans="1:10" ht="46.5">
      <c r="A38" s="16" t="s">
        <v>114</v>
      </c>
      <c r="B38" s="13" t="s">
        <v>84</v>
      </c>
      <c r="C38" s="13" t="s">
        <v>85</v>
      </c>
      <c r="D38" s="13" t="s">
        <v>86</v>
      </c>
      <c r="E38" s="13" t="s">
        <v>115</v>
      </c>
      <c r="F38" s="13" t="s">
        <v>88</v>
      </c>
      <c r="G38" s="13" t="s">
        <v>89</v>
      </c>
      <c r="H38" s="13" t="s">
        <v>116</v>
      </c>
      <c r="I38" s="13" t="s">
        <v>102</v>
      </c>
      <c r="J38" s="17" t="s">
        <v>5</v>
      </c>
    </row>
    <row r="39" spans="1:10" ht="46.5">
      <c r="A39" s="16" t="s">
        <v>117</v>
      </c>
      <c r="B39" s="13" t="s">
        <v>84</v>
      </c>
      <c r="C39" s="13" t="s">
        <v>85</v>
      </c>
      <c r="D39" s="13" t="s">
        <v>86</v>
      </c>
      <c r="E39" s="13" t="s">
        <v>87</v>
      </c>
      <c r="F39" s="13" t="s">
        <v>88</v>
      </c>
      <c r="G39" s="13" t="s">
        <v>93</v>
      </c>
      <c r="H39" s="13" t="s">
        <v>118</v>
      </c>
      <c r="I39" s="13" t="s">
        <v>102</v>
      </c>
      <c r="J39" s="17" t="s">
        <v>5</v>
      </c>
    </row>
    <row r="40" spans="1:10">
      <c r="A40" s="16" t="s">
        <v>119</v>
      </c>
      <c r="B40" s="13" t="s">
        <v>84</v>
      </c>
      <c r="C40" s="13" t="s">
        <v>85</v>
      </c>
      <c r="D40" s="13" t="s">
        <v>86</v>
      </c>
      <c r="E40" s="13" t="s">
        <v>87</v>
      </c>
      <c r="F40" s="13" t="s">
        <v>104</v>
      </c>
      <c r="G40" s="13" t="s">
        <v>89</v>
      </c>
      <c r="H40" s="13" t="s">
        <v>99</v>
      </c>
      <c r="I40" s="13" t="s">
        <v>99</v>
      </c>
      <c r="J40" s="17" t="s">
        <v>5</v>
      </c>
    </row>
    <row r="41" spans="1:10" ht="46.5">
      <c r="A41" s="16" t="s">
        <v>120</v>
      </c>
      <c r="B41" s="13" t="s">
        <v>84</v>
      </c>
      <c r="C41" s="13" t="s">
        <v>85</v>
      </c>
      <c r="D41" s="13" t="s">
        <v>86</v>
      </c>
      <c r="E41" s="13" t="s">
        <v>87</v>
      </c>
      <c r="F41" s="13" t="s">
        <v>121</v>
      </c>
      <c r="G41" s="13" t="s">
        <v>89</v>
      </c>
      <c r="H41" s="13" t="s">
        <v>122</v>
      </c>
      <c r="I41" s="13" t="s">
        <v>102</v>
      </c>
      <c r="J41" s="17" t="s">
        <v>5</v>
      </c>
    </row>
    <row r="42" spans="1:10" ht="46.5">
      <c r="A42" s="16" t="s">
        <v>123</v>
      </c>
      <c r="B42" s="13" t="s">
        <v>84</v>
      </c>
      <c r="C42" s="13" t="s">
        <v>85</v>
      </c>
      <c r="D42" s="13" t="s">
        <v>86</v>
      </c>
      <c r="E42" s="13" t="s">
        <v>87</v>
      </c>
      <c r="F42" s="13" t="s">
        <v>124</v>
      </c>
      <c r="G42" s="13" t="s">
        <v>89</v>
      </c>
      <c r="H42" s="13" t="s">
        <v>125</v>
      </c>
      <c r="I42" s="13" t="s">
        <v>102</v>
      </c>
      <c r="J42" s="17" t="s">
        <v>5</v>
      </c>
    </row>
  </sheetData>
  <mergeCells count="34">
    <mergeCell ref="B20:H20"/>
    <mergeCell ref="B21:H21"/>
    <mergeCell ref="B22:H22"/>
    <mergeCell ref="B23:J23"/>
    <mergeCell ref="B24:J24"/>
    <mergeCell ref="A26:A27"/>
    <mergeCell ref="B26:G26"/>
    <mergeCell ref="H26:H27"/>
    <mergeCell ref="I26:I27"/>
    <mergeCell ref="J26:J27"/>
    <mergeCell ref="A18:J18"/>
    <mergeCell ref="B8:D8"/>
    <mergeCell ref="G8:J8"/>
    <mergeCell ref="B9:D9"/>
    <mergeCell ref="G9:J9"/>
    <mergeCell ref="G10:J10"/>
    <mergeCell ref="G11:J11"/>
    <mergeCell ref="G12:J12"/>
    <mergeCell ref="G13:J13"/>
    <mergeCell ref="G14:J14"/>
    <mergeCell ref="G15:J15"/>
    <mergeCell ref="G16:J16"/>
    <mergeCell ref="B5:D5"/>
    <mergeCell ref="G5:J5"/>
    <mergeCell ref="B6:D6"/>
    <mergeCell ref="G6:J6"/>
    <mergeCell ref="B7:D7"/>
    <mergeCell ref="G7:J7"/>
    <mergeCell ref="A1:J1"/>
    <mergeCell ref="F2:G2"/>
    <mergeCell ref="B3:D3"/>
    <mergeCell ref="G3:J3"/>
    <mergeCell ref="B4:D4"/>
    <mergeCell ref="G4:J4"/>
  </mergeCells>
  <conditionalFormatting sqref="J28:J42">
    <cfRule type="cellIs" dxfId="11" priority="1" operator="equal">
      <formula>"Pass"</formula>
    </cfRule>
    <cfRule type="cellIs" dxfId="10" priority="2" operator="equal">
      <formula>"Fail"</formula>
    </cfRule>
    <cfRule type="cellIs" dxfId="9" priority="3" operator="equal">
      <formula>"Block"</formula>
    </cfRule>
  </conditionalFormatting>
  <dataValidations count="1">
    <dataValidation type="list" allowBlank="1" sqref="J28:J42" xr:uid="{C49824C0-1163-46BA-B1A2-A8A3CA4FCD84}">
      <formula1>"Pass,Fail,No run,Block"</formula1>
      <formula2>0</formula2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3B290D-113C-4B61-AE4E-3F8265052999}">
  <dimension ref="A1:I38"/>
  <sheetViews>
    <sheetView topLeftCell="A11" workbookViewId="0">
      <selection activeCell="B23" sqref="B23:F23"/>
    </sheetView>
  </sheetViews>
  <sheetFormatPr defaultColWidth="7.625" defaultRowHeight="23.25"/>
  <cols>
    <col min="1" max="1" width="29.75" style="8" customWidth="1"/>
    <col min="2" max="5" width="14" style="8" customWidth="1"/>
    <col min="6" max="6" width="36.75" style="8" customWidth="1"/>
    <col min="7" max="7" width="23.75" style="8" customWidth="1"/>
    <col min="8" max="8" width="14.875" style="8" customWidth="1"/>
    <col min="9" max="9" width="12.125" style="8" customWidth="1"/>
    <col min="10" max="16384" width="7.625" style="8"/>
  </cols>
  <sheetData>
    <row r="1" spans="1:9">
      <c r="A1" s="18" t="s">
        <v>18</v>
      </c>
      <c r="B1" s="19" t="s">
        <v>126</v>
      </c>
      <c r="C1" s="19" t="s">
        <v>127</v>
      </c>
      <c r="D1" s="19" t="s">
        <v>128</v>
      </c>
      <c r="E1" s="19" t="s">
        <v>129</v>
      </c>
      <c r="F1" s="19" t="s">
        <v>130</v>
      </c>
      <c r="G1" s="19" t="s">
        <v>131</v>
      </c>
      <c r="H1" s="19" t="s">
        <v>132</v>
      </c>
      <c r="I1" s="19" t="s">
        <v>133</v>
      </c>
    </row>
    <row r="2" spans="1:9">
      <c r="A2" s="13" t="s">
        <v>134</v>
      </c>
      <c r="B2" s="17" t="s">
        <v>135</v>
      </c>
      <c r="C2" s="17" t="s">
        <v>135</v>
      </c>
      <c r="D2" s="17" t="s">
        <v>136</v>
      </c>
      <c r="E2" s="17" t="s">
        <v>135</v>
      </c>
      <c r="F2" s="17" t="s">
        <v>135</v>
      </c>
      <c r="G2" s="17" t="s">
        <v>135</v>
      </c>
      <c r="H2" s="17" t="s">
        <v>136</v>
      </c>
      <c r="I2" s="17" t="s">
        <v>136</v>
      </c>
    </row>
    <row r="3" spans="1:9" ht="46.5">
      <c r="A3" s="13" t="s">
        <v>137</v>
      </c>
      <c r="B3" s="17" t="s">
        <v>135</v>
      </c>
      <c r="C3" s="17" t="s">
        <v>136</v>
      </c>
      <c r="D3" s="17" t="s">
        <v>85</v>
      </c>
      <c r="E3" s="17" t="s">
        <v>136</v>
      </c>
      <c r="F3" s="17" t="s">
        <v>136</v>
      </c>
      <c r="G3" s="17" t="s">
        <v>136</v>
      </c>
      <c r="H3" s="17" t="s">
        <v>85</v>
      </c>
      <c r="I3" s="17" t="s">
        <v>85</v>
      </c>
    </row>
    <row r="4" spans="1:9">
      <c r="A4" s="13" t="s">
        <v>138</v>
      </c>
      <c r="B4" s="17" t="s">
        <v>85</v>
      </c>
      <c r="C4" s="17" t="s">
        <v>135</v>
      </c>
      <c r="D4" s="17" t="s">
        <v>85</v>
      </c>
      <c r="E4" s="17" t="s">
        <v>136</v>
      </c>
      <c r="F4" s="17" t="s">
        <v>136</v>
      </c>
      <c r="G4" s="17" t="s">
        <v>136</v>
      </c>
      <c r="H4" s="17" t="s">
        <v>85</v>
      </c>
      <c r="I4" s="17" t="s">
        <v>85</v>
      </c>
    </row>
    <row r="5" spans="1:9" ht="46.5">
      <c r="A5" s="13" t="s">
        <v>139</v>
      </c>
      <c r="B5" s="17" t="s">
        <v>85</v>
      </c>
      <c r="C5" s="17" t="s">
        <v>85</v>
      </c>
      <c r="D5" s="17" t="s">
        <v>136</v>
      </c>
      <c r="E5" s="17" t="s">
        <v>85</v>
      </c>
      <c r="F5" s="17" t="s">
        <v>85</v>
      </c>
      <c r="G5" s="17" t="s">
        <v>85</v>
      </c>
      <c r="H5" s="17" t="s">
        <v>135</v>
      </c>
      <c r="I5" s="17" t="s">
        <v>135</v>
      </c>
    </row>
    <row r="6" spans="1:9">
      <c r="A6" s="13" t="s">
        <v>140</v>
      </c>
      <c r="B6" s="17" t="s">
        <v>85</v>
      </c>
      <c r="C6" s="17" t="s">
        <v>85</v>
      </c>
      <c r="D6" s="17" t="s">
        <v>85</v>
      </c>
      <c r="E6" s="17" t="s">
        <v>135</v>
      </c>
      <c r="F6" s="17" t="s">
        <v>135</v>
      </c>
      <c r="G6" s="17" t="s">
        <v>135</v>
      </c>
      <c r="H6" s="17" t="s">
        <v>136</v>
      </c>
      <c r="I6" s="17" t="s">
        <v>136</v>
      </c>
    </row>
    <row r="7" spans="1:9" ht="46.5">
      <c r="A7" s="13" t="s">
        <v>141</v>
      </c>
      <c r="B7" s="17" t="s">
        <v>85</v>
      </c>
      <c r="C7" s="17" t="s">
        <v>85</v>
      </c>
      <c r="D7" s="17" t="s">
        <v>85</v>
      </c>
      <c r="E7" s="17" t="s">
        <v>136</v>
      </c>
      <c r="F7" s="17" t="s">
        <v>135</v>
      </c>
      <c r="G7" s="17" t="s">
        <v>135</v>
      </c>
      <c r="H7" s="17" t="s">
        <v>85</v>
      </c>
      <c r="I7" s="17" t="s">
        <v>85</v>
      </c>
    </row>
    <row r="8" spans="1:9" ht="46.5">
      <c r="A8" s="13" t="s">
        <v>142</v>
      </c>
      <c r="B8" s="17" t="s">
        <v>85</v>
      </c>
      <c r="C8" s="17" t="s">
        <v>85</v>
      </c>
      <c r="D8" s="17" t="s">
        <v>85</v>
      </c>
      <c r="E8" s="17" t="s">
        <v>85</v>
      </c>
      <c r="F8" s="17" t="s">
        <v>136</v>
      </c>
      <c r="G8" s="17" t="s">
        <v>135</v>
      </c>
      <c r="H8" s="17" t="s">
        <v>136</v>
      </c>
      <c r="I8" s="17" t="s">
        <v>135</v>
      </c>
    </row>
    <row r="9" spans="1:9">
      <c r="A9" s="18" t="s">
        <v>143</v>
      </c>
      <c r="B9" s="20"/>
      <c r="C9" s="20"/>
      <c r="D9" s="20"/>
      <c r="E9" s="20"/>
      <c r="F9" s="20"/>
      <c r="G9" s="20"/>
      <c r="H9" s="20"/>
      <c r="I9" s="20"/>
    </row>
    <row r="10" spans="1:9" ht="46.5">
      <c r="A10" s="13" t="s">
        <v>144</v>
      </c>
      <c r="B10" s="17" t="s">
        <v>145</v>
      </c>
      <c r="C10" s="17"/>
      <c r="D10" s="17"/>
      <c r="E10" s="17"/>
      <c r="F10" s="17"/>
      <c r="G10" s="17"/>
      <c r="H10" s="17"/>
      <c r="I10" s="17"/>
    </row>
    <row r="11" spans="1:9" ht="46.5">
      <c r="A11" s="13" t="s">
        <v>146</v>
      </c>
      <c r="B11" s="17"/>
      <c r="C11" s="17" t="s">
        <v>145</v>
      </c>
      <c r="D11" s="17"/>
      <c r="E11" s="17"/>
      <c r="F11" s="17"/>
      <c r="G11" s="17"/>
      <c r="H11" s="17"/>
      <c r="I11" s="17"/>
    </row>
    <row r="12" spans="1:9" ht="46.5">
      <c r="A12" s="13" t="s">
        <v>147</v>
      </c>
      <c r="B12" s="17"/>
      <c r="C12" s="17"/>
      <c r="D12" s="17" t="s">
        <v>145</v>
      </c>
      <c r="E12" s="17"/>
      <c r="F12" s="17"/>
      <c r="G12" s="17"/>
      <c r="H12" s="17"/>
      <c r="I12" s="17"/>
    </row>
    <row r="13" spans="1:9" ht="46.5">
      <c r="A13" s="13" t="s">
        <v>148</v>
      </c>
      <c r="B13" s="17"/>
      <c r="C13" s="17"/>
      <c r="D13" s="17"/>
      <c r="E13" s="17" t="s">
        <v>145</v>
      </c>
      <c r="F13" s="17"/>
      <c r="G13" s="17"/>
      <c r="H13" s="17"/>
      <c r="I13" s="17"/>
    </row>
    <row r="14" spans="1:9" ht="46.5">
      <c r="A14" s="13" t="s">
        <v>149</v>
      </c>
      <c r="B14" s="17"/>
      <c r="C14" s="17"/>
      <c r="D14" s="17"/>
      <c r="E14" s="17"/>
      <c r="F14" s="17" t="s">
        <v>145</v>
      </c>
      <c r="G14" s="17"/>
      <c r="H14" s="17" t="s">
        <v>145</v>
      </c>
      <c r="I14" s="17"/>
    </row>
    <row r="15" spans="1:9" ht="46.5">
      <c r="A15" s="13" t="s">
        <v>150</v>
      </c>
      <c r="B15" s="17"/>
      <c r="C15" s="17"/>
      <c r="D15" s="17"/>
      <c r="E15" s="17"/>
      <c r="F15" s="17"/>
      <c r="G15" s="17" t="s">
        <v>145</v>
      </c>
      <c r="H15" s="17"/>
      <c r="I15" s="17" t="s">
        <v>145</v>
      </c>
    </row>
    <row r="16" spans="1:9">
      <c r="A16" s="13" t="s">
        <v>151</v>
      </c>
      <c r="B16" s="17"/>
      <c r="C16" s="17"/>
      <c r="D16" s="17"/>
      <c r="E16" s="17"/>
      <c r="F16" s="17"/>
      <c r="G16" s="17"/>
      <c r="H16" s="17"/>
      <c r="I16" s="17"/>
    </row>
    <row r="17" spans="1:9">
      <c r="A17" s="33" t="s">
        <v>152</v>
      </c>
      <c r="B17" s="33"/>
      <c r="C17" s="33"/>
      <c r="D17" s="33"/>
      <c r="E17" s="33"/>
      <c r="F17" s="33"/>
      <c r="G17" s="33"/>
      <c r="H17" s="33"/>
      <c r="I17" s="33"/>
    </row>
    <row r="19" spans="1:9">
      <c r="A19" s="30" t="s">
        <v>57</v>
      </c>
      <c r="B19" s="30"/>
      <c r="C19" s="30"/>
      <c r="D19" s="30"/>
      <c r="E19" s="30"/>
      <c r="F19" s="30"/>
      <c r="G19" s="30"/>
      <c r="H19" s="30"/>
      <c r="I19" s="30"/>
    </row>
    <row r="21" spans="1:9" ht="46.5">
      <c r="A21" s="12" t="s">
        <v>58</v>
      </c>
      <c r="B21" s="32" t="s">
        <v>153</v>
      </c>
      <c r="C21" s="32"/>
      <c r="D21" s="32"/>
      <c r="E21" s="32"/>
      <c r="F21" s="32"/>
      <c r="G21" s="21"/>
      <c r="H21" s="12" t="s">
        <v>60</v>
      </c>
      <c r="I21" s="14" t="s">
        <v>154</v>
      </c>
    </row>
    <row r="22" spans="1:9" ht="46.5">
      <c r="A22" s="12" t="s">
        <v>61</v>
      </c>
      <c r="B22" s="32" t="s">
        <v>155</v>
      </c>
      <c r="C22" s="32"/>
      <c r="D22" s="32"/>
      <c r="E22" s="32"/>
      <c r="F22" s="32"/>
      <c r="G22" s="21"/>
      <c r="H22" s="12" t="s">
        <v>63</v>
      </c>
      <c r="I22" s="14" t="s">
        <v>156</v>
      </c>
    </row>
    <row r="23" spans="1:9" ht="49.5" customHeight="1">
      <c r="A23" s="12" t="s">
        <v>64</v>
      </c>
      <c r="B23" s="34" t="s">
        <v>65</v>
      </c>
      <c r="C23" s="35"/>
      <c r="D23" s="35"/>
      <c r="E23" s="35"/>
      <c r="F23" s="36"/>
      <c r="G23" s="21"/>
      <c r="H23" s="12" t="s">
        <v>66</v>
      </c>
      <c r="I23" s="13" t="s">
        <v>67</v>
      </c>
    </row>
    <row r="24" spans="1:9">
      <c r="A24" s="12" t="s">
        <v>68</v>
      </c>
      <c r="B24" s="32" t="s">
        <v>157</v>
      </c>
      <c r="C24" s="32"/>
      <c r="D24" s="32"/>
      <c r="E24" s="32"/>
      <c r="F24" s="32"/>
      <c r="G24" s="32"/>
      <c r="H24" s="32"/>
      <c r="I24" s="32"/>
    </row>
    <row r="25" spans="1:9">
      <c r="A25" s="12" t="s">
        <v>70</v>
      </c>
      <c r="B25" s="32" t="s">
        <v>158</v>
      </c>
      <c r="C25" s="32"/>
      <c r="D25" s="32"/>
      <c r="E25" s="32"/>
      <c r="F25" s="32"/>
      <c r="G25" s="32"/>
      <c r="H25" s="32"/>
      <c r="I25" s="32"/>
    </row>
    <row r="27" spans="1:9">
      <c r="A27" s="31" t="s">
        <v>159</v>
      </c>
      <c r="B27" s="31" t="s">
        <v>72</v>
      </c>
      <c r="C27" s="31" t="s">
        <v>73</v>
      </c>
      <c r="D27" s="31"/>
      <c r="E27" s="31"/>
      <c r="F27" s="31" t="s">
        <v>74</v>
      </c>
      <c r="G27" s="31" t="s">
        <v>75</v>
      </c>
      <c r="H27" s="31" t="s">
        <v>76</v>
      </c>
    </row>
    <row r="28" spans="1:9" ht="46.5">
      <c r="A28" s="31"/>
      <c r="B28" s="31"/>
      <c r="C28" s="15" t="s">
        <v>81</v>
      </c>
      <c r="D28" s="15" t="s">
        <v>160</v>
      </c>
      <c r="E28" s="15" t="s">
        <v>161</v>
      </c>
      <c r="F28" s="31"/>
      <c r="G28" s="31"/>
      <c r="H28" s="31"/>
    </row>
    <row r="29" spans="1:9" ht="69.75">
      <c r="A29" s="17" t="s">
        <v>162</v>
      </c>
      <c r="B29" s="16" t="s">
        <v>163</v>
      </c>
      <c r="C29" s="13" t="s">
        <v>88</v>
      </c>
      <c r="D29" s="13" t="s">
        <v>93</v>
      </c>
      <c r="E29" s="13" t="s">
        <v>164</v>
      </c>
      <c r="F29" s="13" t="s">
        <v>201</v>
      </c>
      <c r="G29" s="13" t="s">
        <v>201</v>
      </c>
      <c r="H29" s="17" t="s">
        <v>5</v>
      </c>
    </row>
    <row r="30" spans="1:9" ht="93">
      <c r="A30" s="17" t="s">
        <v>162</v>
      </c>
      <c r="B30" s="16" t="s">
        <v>165</v>
      </c>
      <c r="C30" s="13" t="s">
        <v>88</v>
      </c>
      <c r="D30" s="13" t="s">
        <v>93</v>
      </c>
      <c r="E30" s="13" t="s">
        <v>166</v>
      </c>
      <c r="F30" s="13" t="s">
        <v>204</v>
      </c>
      <c r="G30" s="13" t="s">
        <v>203</v>
      </c>
      <c r="H30" s="17" t="s">
        <v>6</v>
      </c>
    </row>
    <row r="31" spans="1:9" ht="93">
      <c r="A31" s="17" t="s">
        <v>167</v>
      </c>
      <c r="B31" s="16" t="s">
        <v>168</v>
      </c>
      <c r="C31" s="13" t="s">
        <v>88</v>
      </c>
      <c r="D31" s="13" t="s">
        <v>93</v>
      </c>
      <c r="E31" s="13" t="s">
        <v>169</v>
      </c>
      <c r="F31" s="13" t="s">
        <v>170</v>
      </c>
      <c r="G31" s="13" t="s">
        <v>201</v>
      </c>
      <c r="H31" s="17" t="s">
        <v>5</v>
      </c>
    </row>
    <row r="32" spans="1:9" ht="93">
      <c r="A32" s="17" t="s">
        <v>171</v>
      </c>
      <c r="B32" s="16" t="s">
        <v>172</v>
      </c>
      <c r="C32" s="13" t="s">
        <v>93</v>
      </c>
      <c r="D32" s="13" t="s">
        <v>93</v>
      </c>
      <c r="E32" s="13" t="s">
        <v>173</v>
      </c>
      <c r="F32" s="13" t="s">
        <v>174</v>
      </c>
      <c r="G32" s="13" t="s">
        <v>201</v>
      </c>
      <c r="H32" s="17" t="s">
        <v>5</v>
      </c>
    </row>
    <row r="33" spans="1:8" ht="46.5">
      <c r="A33" s="17" t="s">
        <v>175</v>
      </c>
      <c r="B33" s="16" t="s">
        <v>176</v>
      </c>
      <c r="C33" s="13" t="s">
        <v>88</v>
      </c>
      <c r="D33" s="13" t="s">
        <v>177</v>
      </c>
      <c r="E33" s="13" t="s">
        <v>178</v>
      </c>
      <c r="F33" s="13" t="s">
        <v>179</v>
      </c>
      <c r="G33" s="13" t="s">
        <v>102</v>
      </c>
      <c r="H33" s="17" t="s">
        <v>5</v>
      </c>
    </row>
    <row r="34" spans="1:8" ht="46.5">
      <c r="A34" s="17" t="s">
        <v>175</v>
      </c>
      <c r="B34" s="16" t="s">
        <v>180</v>
      </c>
      <c r="C34" s="13" t="s">
        <v>88</v>
      </c>
      <c r="D34" s="13" t="s">
        <v>181</v>
      </c>
      <c r="E34" s="13" t="s">
        <v>178</v>
      </c>
      <c r="F34" s="13" t="s">
        <v>182</v>
      </c>
      <c r="G34" s="13" t="s">
        <v>102</v>
      </c>
      <c r="H34" s="17" t="s">
        <v>5</v>
      </c>
    </row>
    <row r="35" spans="1:8" ht="69.75">
      <c r="A35" s="17" t="s">
        <v>183</v>
      </c>
      <c r="B35" s="16" t="s">
        <v>184</v>
      </c>
      <c r="C35" s="13" t="s">
        <v>88</v>
      </c>
      <c r="D35" s="13" t="s">
        <v>185</v>
      </c>
      <c r="E35" s="13" t="s">
        <v>186</v>
      </c>
      <c r="F35" s="13" t="s">
        <v>187</v>
      </c>
      <c r="G35" s="13" t="s">
        <v>201</v>
      </c>
      <c r="H35" s="17" t="s">
        <v>5</v>
      </c>
    </row>
    <row r="36" spans="1:8" ht="46.5">
      <c r="A36" s="17" t="s">
        <v>188</v>
      </c>
      <c r="B36" s="16" t="s">
        <v>189</v>
      </c>
      <c r="C36" s="13" t="s">
        <v>88</v>
      </c>
      <c r="D36" s="13" t="s">
        <v>190</v>
      </c>
      <c r="E36" s="13" t="s">
        <v>191</v>
      </c>
      <c r="F36" s="13" t="s">
        <v>192</v>
      </c>
      <c r="G36" s="13" t="s">
        <v>192</v>
      </c>
      <c r="H36" s="17" t="s">
        <v>5</v>
      </c>
    </row>
    <row r="37" spans="1:8" ht="69.75">
      <c r="A37" s="17" t="s">
        <v>193</v>
      </c>
      <c r="B37" s="16" t="s">
        <v>194</v>
      </c>
      <c r="C37" s="13" t="s">
        <v>93</v>
      </c>
      <c r="D37" s="13" t="s">
        <v>93</v>
      </c>
      <c r="E37" s="13" t="s">
        <v>195</v>
      </c>
      <c r="F37" s="13" t="s">
        <v>196</v>
      </c>
      <c r="G37" s="13" t="s">
        <v>201</v>
      </c>
      <c r="H37" s="17" t="s">
        <v>5</v>
      </c>
    </row>
    <row r="38" spans="1:8" ht="93">
      <c r="A38" s="17" t="s">
        <v>197</v>
      </c>
      <c r="B38" s="16" t="s">
        <v>198</v>
      </c>
      <c r="C38" s="13" t="s">
        <v>93</v>
      </c>
      <c r="D38" s="13" t="s">
        <v>93</v>
      </c>
      <c r="E38" s="13" t="s">
        <v>199</v>
      </c>
      <c r="F38" s="13" t="s">
        <v>200</v>
      </c>
      <c r="G38" s="13" t="s">
        <v>202</v>
      </c>
      <c r="H38" s="17" t="s">
        <v>5</v>
      </c>
    </row>
  </sheetData>
  <mergeCells count="13">
    <mergeCell ref="B24:I24"/>
    <mergeCell ref="A17:I17"/>
    <mergeCell ref="A19:I19"/>
    <mergeCell ref="B21:F21"/>
    <mergeCell ref="B22:F22"/>
    <mergeCell ref="B23:F23"/>
    <mergeCell ref="B25:I25"/>
    <mergeCell ref="A27:A28"/>
    <mergeCell ref="B27:B28"/>
    <mergeCell ref="C27:E27"/>
    <mergeCell ref="F27:F28"/>
    <mergeCell ref="G27:G28"/>
    <mergeCell ref="H27:H28"/>
  </mergeCells>
  <conditionalFormatting sqref="H29:H38">
    <cfRule type="cellIs" dxfId="8" priority="1" operator="equal">
      <formula>"Pass"</formula>
    </cfRule>
    <cfRule type="cellIs" dxfId="7" priority="2" operator="equal">
      <formula>"Fail"</formula>
    </cfRule>
    <cfRule type="cellIs" dxfId="6" priority="3" operator="equal">
      <formula>"Block"</formula>
    </cfRule>
  </conditionalFormatting>
  <dataValidations count="1">
    <dataValidation type="list" allowBlank="1" sqref="H29:H38" xr:uid="{68656FA3-FFAA-482E-8005-5780985C4D96}">
      <formula1>"Pass,Fail,No run,Block"</formula1>
      <formula2>0</formula2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650EA3-2DDD-4A0A-9B5D-3EC95B3F0ED3}">
  <dimension ref="A1:L23"/>
  <sheetViews>
    <sheetView topLeftCell="A19" workbookViewId="0">
      <selection activeCell="G23" sqref="G23"/>
    </sheetView>
  </sheetViews>
  <sheetFormatPr defaultColWidth="7.625" defaultRowHeight="23.25"/>
  <cols>
    <col min="1" max="1" width="19.25" style="8" customWidth="1"/>
    <col min="2" max="4" width="14.875" style="8" customWidth="1"/>
    <col min="5" max="5" width="35" style="8" customWidth="1"/>
    <col min="6" max="6" width="15.75" style="8" customWidth="1"/>
    <col min="7" max="7" width="14.875" style="8" customWidth="1"/>
    <col min="8" max="9" width="7.625" style="8"/>
    <col min="10" max="10" width="8.75" style="8" customWidth="1"/>
    <col min="11" max="12" width="19.25" style="8" customWidth="1"/>
    <col min="13" max="16384" width="7.625" style="8"/>
  </cols>
  <sheetData>
    <row r="1" spans="1:12" ht="46.5">
      <c r="A1" s="30" t="s">
        <v>57</v>
      </c>
      <c r="B1" s="30"/>
      <c r="C1" s="30"/>
      <c r="D1" s="30"/>
      <c r="E1" s="30"/>
      <c r="F1" s="30"/>
      <c r="G1" s="30"/>
      <c r="J1" s="13"/>
      <c r="K1" s="15" t="s">
        <v>222</v>
      </c>
      <c r="L1" s="15" t="s">
        <v>223</v>
      </c>
    </row>
    <row r="2" spans="1:12">
      <c r="J2" s="17" t="s">
        <v>224</v>
      </c>
      <c r="K2" s="17" t="s">
        <v>225</v>
      </c>
      <c r="L2" s="17" t="s">
        <v>226</v>
      </c>
    </row>
    <row r="3" spans="1:12">
      <c r="A3" s="12" t="s">
        <v>58</v>
      </c>
      <c r="B3" s="32" t="s">
        <v>227</v>
      </c>
      <c r="C3" s="32"/>
      <c r="D3" s="32"/>
      <c r="E3" s="32"/>
      <c r="F3" s="12" t="s">
        <v>60</v>
      </c>
      <c r="G3" s="14" t="s">
        <v>154</v>
      </c>
      <c r="J3" s="17" t="s">
        <v>228</v>
      </c>
      <c r="K3" s="17" t="s">
        <v>229</v>
      </c>
      <c r="L3" s="17" t="s">
        <v>230</v>
      </c>
    </row>
    <row r="4" spans="1:12">
      <c r="A4" s="12" t="s">
        <v>61</v>
      </c>
      <c r="B4" s="32" t="s">
        <v>231</v>
      </c>
      <c r="C4" s="32"/>
      <c r="D4" s="32"/>
      <c r="E4" s="32"/>
      <c r="F4" s="12" t="s">
        <v>63</v>
      </c>
      <c r="G4" s="14" t="s">
        <v>156</v>
      </c>
      <c r="J4" s="17" t="s">
        <v>232</v>
      </c>
      <c r="K4" s="17" t="s">
        <v>108</v>
      </c>
      <c r="L4" s="17" t="s">
        <v>233</v>
      </c>
    </row>
    <row r="5" spans="1:12" ht="46.5">
      <c r="A5" s="12" t="s">
        <v>64</v>
      </c>
      <c r="B5" s="32" t="s">
        <v>65</v>
      </c>
      <c r="C5" s="32"/>
      <c r="D5" s="32"/>
      <c r="E5" s="32"/>
      <c r="F5" s="12" t="s">
        <v>66</v>
      </c>
      <c r="G5" s="13" t="s">
        <v>67</v>
      </c>
      <c r="J5" s="17" t="s">
        <v>234</v>
      </c>
      <c r="K5" s="17" t="s">
        <v>235</v>
      </c>
      <c r="L5" s="17" t="s">
        <v>236</v>
      </c>
    </row>
    <row r="6" spans="1:12" ht="46.5">
      <c r="A6" s="12" t="s">
        <v>68</v>
      </c>
      <c r="B6" s="32" t="s">
        <v>237</v>
      </c>
      <c r="C6" s="32"/>
      <c r="D6" s="32"/>
      <c r="E6" s="32"/>
      <c r="F6" s="32"/>
      <c r="G6" s="32"/>
      <c r="J6" s="17" t="s">
        <v>238</v>
      </c>
      <c r="K6" s="17" t="s">
        <v>239</v>
      </c>
      <c r="L6" s="17" t="s">
        <v>240</v>
      </c>
    </row>
    <row r="7" spans="1:12" ht="46.5">
      <c r="A7" s="12" t="s">
        <v>70</v>
      </c>
      <c r="B7" s="32" t="s">
        <v>243</v>
      </c>
      <c r="C7" s="32"/>
      <c r="D7" s="32"/>
      <c r="E7" s="32"/>
      <c r="F7" s="32"/>
      <c r="G7" s="32"/>
      <c r="J7" s="17" t="s">
        <v>244</v>
      </c>
      <c r="K7" s="17" t="s">
        <v>245</v>
      </c>
      <c r="L7" s="17" t="s">
        <v>246</v>
      </c>
    </row>
    <row r="9" spans="1:12">
      <c r="A9" s="31" t="s">
        <v>72</v>
      </c>
      <c r="B9" s="31" t="s">
        <v>73</v>
      </c>
      <c r="C9" s="31"/>
      <c r="D9" s="31"/>
      <c r="E9" s="31" t="s">
        <v>74</v>
      </c>
      <c r="F9" s="31" t="s">
        <v>75</v>
      </c>
      <c r="G9" s="31" t="s">
        <v>76</v>
      </c>
    </row>
    <row r="10" spans="1:12">
      <c r="A10" s="31"/>
      <c r="B10" s="15" t="s">
        <v>82</v>
      </c>
      <c r="C10" s="15" t="s">
        <v>247</v>
      </c>
      <c r="D10" s="15" t="s">
        <v>248</v>
      </c>
      <c r="E10" s="31"/>
      <c r="F10" s="31"/>
      <c r="G10" s="31"/>
    </row>
    <row r="11" spans="1:12" ht="46.5">
      <c r="A11" s="16" t="s">
        <v>249</v>
      </c>
      <c r="B11" s="13" t="s">
        <v>250</v>
      </c>
      <c r="C11" s="13" t="s">
        <v>235</v>
      </c>
      <c r="D11" s="13" t="s">
        <v>236</v>
      </c>
      <c r="E11" s="13" t="s">
        <v>251</v>
      </c>
      <c r="F11" s="13" t="s">
        <v>258</v>
      </c>
      <c r="G11" s="17" t="s">
        <v>5</v>
      </c>
    </row>
    <row r="12" spans="1:12" ht="46.5">
      <c r="A12" s="16" t="s">
        <v>252</v>
      </c>
      <c r="B12" s="13" t="s">
        <v>253</v>
      </c>
      <c r="C12" s="13" t="s">
        <v>225</v>
      </c>
      <c r="D12" s="13" t="s">
        <v>254</v>
      </c>
      <c r="E12" s="13" t="s">
        <v>255</v>
      </c>
      <c r="F12" s="13" t="s">
        <v>258</v>
      </c>
      <c r="G12" s="17" t="s">
        <v>6</v>
      </c>
    </row>
    <row r="13" spans="1:12" ht="46.5">
      <c r="A13" s="16" t="s">
        <v>256</v>
      </c>
      <c r="B13" s="13" t="s">
        <v>257</v>
      </c>
      <c r="C13" s="13" t="s">
        <v>229</v>
      </c>
      <c r="D13" s="13" t="s">
        <v>236</v>
      </c>
      <c r="E13" s="13" t="s">
        <v>258</v>
      </c>
      <c r="F13" s="13" t="s">
        <v>258</v>
      </c>
      <c r="G13" s="17" t="s">
        <v>5</v>
      </c>
    </row>
    <row r="14" spans="1:12" ht="46.5">
      <c r="A14" s="16" t="s">
        <v>259</v>
      </c>
      <c r="B14" s="13" t="s">
        <v>260</v>
      </c>
      <c r="C14" s="13" t="s">
        <v>108</v>
      </c>
      <c r="D14" s="13" t="s">
        <v>261</v>
      </c>
      <c r="E14" s="13" t="s">
        <v>258</v>
      </c>
      <c r="F14" s="13" t="s">
        <v>258</v>
      </c>
      <c r="G14" s="17" t="s">
        <v>5</v>
      </c>
    </row>
    <row r="15" spans="1:12" ht="46.5">
      <c r="A15" s="16" t="s">
        <v>262</v>
      </c>
      <c r="B15" s="13" t="s">
        <v>263</v>
      </c>
      <c r="C15" s="13" t="s">
        <v>239</v>
      </c>
      <c r="D15" s="13" t="s">
        <v>264</v>
      </c>
      <c r="E15" s="13" t="s">
        <v>258</v>
      </c>
      <c r="F15" s="13" t="s">
        <v>258</v>
      </c>
      <c r="G15" s="17" t="s">
        <v>5</v>
      </c>
    </row>
    <row r="16" spans="1:12" ht="46.5">
      <c r="A16" s="16" t="s">
        <v>265</v>
      </c>
      <c r="B16" s="13" t="s">
        <v>266</v>
      </c>
      <c r="C16" s="13" t="s">
        <v>241</v>
      </c>
      <c r="D16" s="13" t="s">
        <v>267</v>
      </c>
      <c r="E16" s="13" t="s">
        <v>258</v>
      </c>
      <c r="F16" s="13" t="s">
        <v>258</v>
      </c>
      <c r="G16" s="17" t="s">
        <v>5</v>
      </c>
    </row>
    <row r="17" spans="1:7" ht="46.5">
      <c r="A17" s="16" t="s">
        <v>268</v>
      </c>
      <c r="B17" s="13" t="s">
        <v>269</v>
      </c>
      <c r="C17" s="13" t="s">
        <v>245</v>
      </c>
      <c r="D17" s="13" t="s">
        <v>270</v>
      </c>
      <c r="E17" s="13" t="s">
        <v>271</v>
      </c>
      <c r="F17" s="13" t="s">
        <v>258</v>
      </c>
      <c r="G17" s="17" t="s">
        <v>6</v>
      </c>
    </row>
    <row r="18" spans="1:7" ht="46.5">
      <c r="A18" s="16" t="s">
        <v>272</v>
      </c>
      <c r="B18" s="13" t="s">
        <v>273</v>
      </c>
      <c r="C18" s="13" t="s">
        <v>274</v>
      </c>
      <c r="D18" s="13" t="s">
        <v>226</v>
      </c>
      <c r="E18" s="13" t="s">
        <v>275</v>
      </c>
      <c r="F18" s="13" t="s">
        <v>258</v>
      </c>
      <c r="G18" s="17" t="s">
        <v>6</v>
      </c>
    </row>
    <row r="19" spans="1:7" ht="46.5">
      <c r="A19" s="16" t="s">
        <v>276</v>
      </c>
      <c r="B19" s="13" t="s">
        <v>277</v>
      </c>
      <c r="C19" s="13" t="s">
        <v>278</v>
      </c>
      <c r="D19" s="13" t="s">
        <v>230</v>
      </c>
      <c r="E19" s="13" t="s">
        <v>258</v>
      </c>
      <c r="F19" s="13" t="s">
        <v>258</v>
      </c>
      <c r="G19" s="17" t="s">
        <v>5</v>
      </c>
    </row>
    <row r="20" spans="1:7" ht="46.5">
      <c r="A20" s="16" t="s">
        <v>279</v>
      </c>
      <c r="B20" s="13" t="s">
        <v>280</v>
      </c>
      <c r="C20" s="13" t="s">
        <v>281</v>
      </c>
      <c r="D20" s="13" t="s">
        <v>233</v>
      </c>
      <c r="E20" s="13" t="s">
        <v>258</v>
      </c>
      <c r="F20" s="13" t="s">
        <v>258</v>
      </c>
      <c r="G20" s="17" t="s">
        <v>5</v>
      </c>
    </row>
    <row r="21" spans="1:7" ht="46.5">
      <c r="A21" s="16" t="s">
        <v>282</v>
      </c>
      <c r="B21" s="13" t="s">
        <v>283</v>
      </c>
      <c r="C21" s="13" t="s">
        <v>284</v>
      </c>
      <c r="D21" s="13" t="s">
        <v>240</v>
      </c>
      <c r="E21" s="13" t="s">
        <v>258</v>
      </c>
      <c r="F21" s="13" t="s">
        <v>258</v>
      </c>
      <c r="G21" s="17" t="s">
        <v>5</v>
      </c>
    </row>
    <row r="22" spans="1:7" ht="46.5">
      <c r="A22" s="16" t="s">
        <v>285</v>
      </c>
      <c r="B22" s="13" t="s">
        <v>286</v>
      </c>
      <c r="C22" s="13" t="s">
        <v>287</v>
      </c>
      <c r="D22" s="13" t="s">
        <v>242</v>
      </c>
      <c r="E22" s="13" t="s">
        <v>288</v>
      </c>
      <c r="F22" s="13" t="s">
        <v>258</v>
      </c>
      <c r="G22" s="17" t="s">
        <v>5</v>
      </c>
    </row>
    <row r="23" spans="1:7" ht="46.5">
      <c r="A23" s="16" t="s">
        <v>289</v>
      </c>
      <c r="B23" s="13" t="s">
        <v>290</v>
      </c>
      <c r="C23" s="13" t="s">
        <v>291</v>
      </c>
      <c r="D23" s="13" t="s">
        <v>246</v>
      </c>
      <c r="E23" s="13" t="s">
        <v>292</v>
      </c>
      <c r="F23" s="13" t="s">
        <v>258</v>
      </c>
      <c r="G23" s="17" t="s">
        <v>6</v>
      </c>
    </row>
  </sheetData>
  <mergeCells count="11">
    <mergeCell ref="B7:G7"/>
    <mergeCell ref="A9:A10"/>
    <mergeCell ref="B9:D9"/>
    <mergeCell ref="E9:E10"/>
    <mergeCell ref="F9:F10"/>
    <mergeCell ref="G9:G10"/>
    <mergeCell ref="A1:G1"/>
    <mergeCell ref="B3:E3"/>
    <mergeCell ref="B4:E4"/>
    <mergeCell ref="B5:E5"/>
    <mergeCell ref="B6:G6"/>
  </mergeCells>
  <conditionalFormatting sqref="G11:G23">
    <cfRule type="cellIs" dxfId="2" priority="1" operator="equal">
      <formula>"Pass"</formula>
    </cfRule>
    <cfRule type="cellIs" dxfId="1" priority="2" operator="equal">
      <formula>"Fail"</formula>
    </cfRule>
    <cfRule type="cellIs" dxfId="0" priority="3" operator="equal">
      <formula>"Block"</formula>
    </cfRule>
  </conditionalFormatting>
  <dataValidations count="1">
    <dataValidation type="list" allowBlank="1" sqref="G11:G23" xr:uid="{866B5AC5-B25F-4B37-866D-E6C5E90C47BD}">
      <formula1>"Pass,Fail,No run,Block"</formula1>
      <formula2>0</formula2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8330E-079C-4579-8133-7533964AD0F3}">
  <dimension ref="A1:K3"/>
  <sheetViews>
    <sheetView workbookViewId="0">
      <selection activeCell="B3" sqref="B3"/>
    </sheetView>
  </sheetViews>
  <sheetFormatPr defaultColWidth="7.625" defaultRowHeight="23.25"/>
  <cols>
    <col min="1" max="1" width="5.25" style="8" customWidth="1"/>
    <col min="2" max="2" width="9.625" style="8" customWidth="1"/>
    <col min="3" max="3" width="31.5" style="8" customWidth="1"/>
    <col min="4" max="4" width="10.5" style="8" customWidth="1"/>
    <col min="5" max="5" width="9.625" style="8" customWidth="1"/>
    <col min="6" max="6" width="12.25" style="8" customWidth="1"/>
    <col min="7" max="9" width="9.625" style="8" customWidth="1"/>
    <col min="10" max="10" width="10.5" style="8" customWidth="1"/>
    <col min="11" max="11" width="63" style="8" customWidth="1"/>
    <col min="12" max="16384" width="7.625" style="8"/>
  </cols>
  <sheetData>
    <row r="1" spans="1:11" ht="46.5">
      <c r="A1" s="22" t="s">
        <v>1</v>
      </c>
      <c r="B1" s="22" t="s">
        <v>205</v>
      </c>
      <c r="C1" s="22" t="s">
        <v>206</v>
      </c>
      <c r="D1" s="22" t="s">
        <v>207</v>
      </c>
      <c r="E1" s="22" t="s">
        <v>208</v>
      </c>
      <c r="F1" s="22" t="s">
        <v>209</v>
      </c>
      <c r="G1" s="22" t="s">
        <v>210</v>
      </c>
      <c r="H1" s="22" t="s">
        <v>211</v>
      </c>
      <c r="I1" s="22" t="s">
        <v>212</v>
      </c>
      <c r="J1" s="22" t="s">
        <v>213</v>
      </c>
      <c r="K1" s="22" t="s">
        <v>214</v>
      </c>
    </row>
    <row r="2" spans="1:11" ht="69.75">
      <c r="A2" s="17">
        <v>1</v>
      </c>
      <c r="B2" s="17" t="s">
        <v>215</v>
      </c>
      <c r="C2" s="13" t="s">
        <v>218</v>
      </c>
      <c r="D2" s="17" t="s">
        <v>67</v>
      </c>
      <c r="E2" s="13"/>
      <c r="F2" s="14" t="s">
        <v>156</v>
      </c>
      <c r="G2" s="17" t="s">
        <v>216</v>
      </c>
      <c r="H2" s="17" t="s">
        <v>217</v>
      </c>
      <c r="I2" s="17" t="s">
        <v>217</v>
      </c>
      <c r="J2" s="13"/>
      <c r="K2" s="13" t="s">
        <v>219</v>
      </c>
    </row>
    <row r="3" spans="1:11" ht="85.5" customHeight="1">
      <c r="A3" s="17">
        <v>2</v>
      </c>
      <c r="B3" s="17" t="s">
        <v>295</v>
      </c>
      <c r="C3" s="13" t="s">
        <v>296</v>
      </c>
      <c r="D3" s="17" t="s">
        <v>67</v>
      </c>
      <c r="E3" s="13"/>
      <c r="F3" s="14" t="s">
        <v>156</v>
      </c>
      <c r="G3" s="17" t="s">
        <v>216</v>
      </c>
      <c r="H3" s="17" t="s">
        <v>217</v>
      </c>
      <c r="I3" s="17" t="s">
        <v>217</v>
      </c>
      <c r="J3" s="13"/>
      <c r="K3" s="13" t="s">
        <v>297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Test Summary</vt:lpstr>
      <vt:lpstr>UT01_CreateBooking_EC</vt:lpstr>
      <vt:lpstr>UT02_CreateBooking_DT</vt:lpstr>
      <vt:lpstr>UT03_CreateBooking_Time_BVA</vt:lpstr>
      <vt:lpstr>Defect 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2026-10-09T17:05:27Z</dcterms:created>
  <dcterms:modified xsi:type="dcterms:W3CDTF">2026-10-09T18:11:35Z</dcterms:modified>
</cp:coreProperties>
</file>