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3497a6d74c45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Summary" sheetId="1" r:id="R7ccce31b86ca40d0"/>
    <x:sheet xmlns:r="http://schemas.openxmlformats.org/officeDocument/2006/relationships" name="Defect Summary" sheetId="4" r:id="Reef26b6371444083"/>
    <x:sheet xmlns:r="http://schemas.openxmlformats.org/officeDocument/2006/relationships" name="UT01_CreateBooking_EC" sheetId="2" r:id="Rb3a231c7fbde4269"/>
    <x:sheet xmlns:r="http://schemas.openxmlformats.org/officeDocument/2006/relationships" name="UT02_CreateBooking_DT" sheetId="3" r:id="Rf711aab1bf7c4898"/>
    <x:sheet xmlns:r="http://schemas.openxmlformats.org/officeDocument/2006/relationships" name="UT03_CreateBooking_Time_BVA" sheetId="5" r:id="R77bb3b15ab80459f"/>
    <x:sheet xmlns:r="http://schemas.openxmlformats.org/officeDocument/2006/relationships" name="UT04_Overlap_Buffer_BVA" sheetId="6" r:id="Rec4863b419294333"/>
    <x:sheet xmlns:r="http://schemas.openxmlformats.org/officeDocument/2006/relationships" name="UT05_CancelBooking_DT" sheetId="7" r:id="R66dc9934a2034a2d"/>
    <x:sheet xmlns:r="http://schemas.openxmlformats.org/officeDocument/2006/relationships" name="UT06_Cancel_2h_BVA" sheetId="8" r:id="R5490b7a3555f47cb"/>
    <x:sheet xmlns:r="http://schemas.openxmlformats.org/officeDocument/2006/relationships" name="UT07_GetBookingById_DT" sheetId="9" r:id="Rf910354d4d2842cb"/>
    <x:sheet xmlns:r="http://schemas.openxmlformats.org/officeDocument/2006/relationships" name="UT08_BookingState_DT" sheetId="10" r:id="R08e69f318dd0400e"/>
    <x:sheet xmlns:r="http://schemas.openxmlformats.org/officeDocument/2006/relationships" name="UT09_StateFactory_EC" sheetId="11" r:id="R7a3595d3a1fc44eb"/>
    <x:sheet xmlns:r="http://schemas.openxmlformats.org/officeDocument/2006/relationships" name="UT10_Availability_BVA" sheetId="12" r:id="R8d22abd4cf1843c6"/>
    <x:sheet xmlns:r="http://schemas.openxmlformats.org/officeDocument/2006/relationships" name="UT11_Availability_EC" sheetId="14" r:id="R87df02f06d024fec"/>
    <x:sheet xmlns:r="http://schemas.openxmlformats.org/officeDocument/2006/relationships" name="UT12_BookingMapper_EC" sheetId="15" r:id="R0a28f597cfe542d5"/>
    <x:sheet xmlns:r="http://schemas.openxmlformats.org/officeDocument/2006/relationships" name="UT13_ProcessPayment_DT" sheetId="16" r:id="R8162647e9de84314"/>
    <x:sheet xmlns:r="http://schemas.openxmlformats.org/officeDocument/2006/relationships" name="UT14_Payment_Promo_Status_EC" sheetId="17" r:id="R8f4a8f8865984db1"/>
    <x:sheet xmlns:r="http://schemas.openxmlformats.org/officeDocument/2006/relationships" name="UT15_FixedDiscount_BVA" sheetId="18" r:id="R3a00a3b2f31a4471"/>
    <x:sheet xmlns:r="http://schemas.openxmlformats.org/officeDocument/2006/relationships" name="UT16_PercentDiscount_EC" sheetId="19" r:id="Rf95c14510c6b433a"/>
    <x:sheet xmlns:r="http://schemas.openxmlformats.org/officeDocument/2006/relationships" name="UT17_DiscountFactory_EC" sheetId="20" r:id="R3a51e93c1ba0480b"/>
    <x:sheet xmlns:r="http://schemas.openxmlformats.org/officeDocument/2006/relationships" name="UT18_PaymentStrategy_EC" sheetId="21" r:id="Rb841c7f053ac4bf0"/>
    <x:sheet xmlns:r="http://schemas.openxmlformats.org/officeDocument/2006/relationships" name="UT19_Refund_Amount_BVA" sheetId="22" r:id="Re6fe7194ab7a4291"/>
    <x:sheet xmlns:r="http://schemas.openxmlformats.org/officeDocument/2006/relationships" name="UT20_Refund_EC" sheetId="23" r:id="Rae2c1de6e6c44fab"/>
    <x:sheet xmlns:r="http://schemas.openxmlformats.org/officeDocument/2006/relationships" name="UT21_CheckIn_Window_BVA" sheetId="25" r:id="Rcdc0a40cb99d430a"/>
    <x:sheet xmlns:r="http://schemas.openxmlformats.org/officeDocument/2006/relationships" name="UT22_CheckIn_Queue_EC" sheetId="26" r:id="Rfe9a47299da140a9"/>
    <x:sheet xmlns:r="http://schemas.openxmlformats.org/officeDocument/2006/relationships" name="UT23_QueueStatus_DT" sheetId="27" r:id="Rb04c8ee6ec2e4288"/>
    <x:sheet xmlns:r="http://schemas.openxmlformats.org/officeDocument/2006/relationships" name="UT24_TherapistExec_DT" sheetId="28" r:id="R51101c0e0d7544d9"/>
    <x:sheet xmlns:r="http://schemas.openxmlformats.org/officeDocument/2006/relationships" name="UT25_Review_Rating_BVA" sheetId="29" r:id="R8834b23ff6db4c73"/>
    <x:sheet xmlns:r="http://schemas.openxmlformats.org/officeDocument/2006/relationships" name="UT26_Review_EC" sheetId="30" r:id="R5e8d34b46e7b4b0c"/>
    <x:sheet xmlns:r="http://schemas.openxmlformats.org/officeDocument/2006/relationships" name="UT27_Login_DT" sheetId="31" r:id="R94dc118ecb5a424e"/>
    <x:sheet xmlns:r="http://schemas.openxmlformats.org/officeDocument/2006/relationships" name="UT28_Register_EC" sheetId="32" r:id="Raaad2f2cc0444035"/>
    <x:sheet xmlns:r="http://schemas.openxmlformats.org/officeDocument/2006/relationships" name="UT29_UpdateProfile_DT" sheetId="33" r:id="R433e02194d064992"/>
    <x:sheet xmlns:r="http://schemas.openxmlformats.org/officeDocument/2006/relationships" name="UT30_UserSession_BVA" sheetId="34" r:id="R46915f7920424510"/>
    <x:sheet xmlns:r="http://schemas.openxmlformats.org/officeDocument/2006/relationships" name="UT31_JwtToken_EC" sheetId="35" r:id="Rad288d821b684bab"/>
    <x:sheet xmlns:r="http://schemas.openxmlformats.org/officeDocument/2006/relationships" name="UT32_RoomService_EC" sheetId="36" r:id="R352ba8e012584e27"/>
    <x:sheet xmlns:r="http://schemas.openxmlformats.org/officeDocument/2006/relationships" name="UT33_ServiceCatalog_EC" sheetId="37" r:id="R3467137caf0442b1"/>
    <x:sheet xmlns:r="http://schemas.openxmlformats.org/officeDocument/2006/relationships" name="UT34_Schedule_Shift_BVA" sheetId="39" r:id="R3a67d497ba7547c1"/>
    <x:sheet xmlns:r="http://schemas.openxmlformats.org/officeDocument/2006/relationships" name="UT35_ShopHours_BVA" sheetId="38" r:id="R7b6de18563204d2e"/>
    <x:sheet xmlns:r="http://schemas.openxmlformats.org/officeDocument/2006/relationships" name="UT36_RevenueReport_BVA" sheetId="40" r:id="Re9b055dd27e743d4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<x:sst xmlns:x="http://schemas.openxmlformats.org/spreadsheetml/2006/main">
  <x:si>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FIWDEE – Unit Test Design</x:t>
  </x:si>
  <x:si>
    <x:t xml:space="preserve">No</x:t>
  </x:si>
  <x:si>
    <x:t xml:space="preserve">Project</x:t>
  </x:si>
  <x:si>
    <x:t xml:space="preserve">Test Strategy</x:t>
  </x:si>
  <x:si>
    <x:t xml:space="preserve">No. of Test Cases</x:t>
  </x:si>
  <x:si>
    <x:t xml:space="preserve">Pass</x:t>
  </x:si>
  <x:si>
    <x:t xml:space="preserve">Fail</x:t>
  </x:si>
  <x:si>
    <x:t xml:space="preserve">No run</x:t>
  </x:si>
  <x:si>
    <x:t xml:space="preserve">Block</x:t>
  </x:si>
  <x:si>
    <x:t xml:space="preserve">Remark / Defect ID</x:t>
  </x:si>
  <x:si>
    <x:t xml:space="preserve">Booking</x:t>
  </x:si>
  <x:si>
    <x:t xml:space="preserve">UT01 – BookingServiceImpl.createBooking – ข้อมูลนำเข้าและผู้ทำรายการ</x:t>
  </x:si>
  <x:si>
    <x:t xml:space="preserve">Weak Robust Equivalence Class Testing</x:t>
  </x:si>
  <x:si>
    <x:t xml:space="preserve">UT02 – BookingServiceImpl.createBooking – จัดสรรหมอนวดและห้อง</x:t>
  </x:si>
  <x:si>
    <x:t xml:space="preserve">Decision Table (Limited Entry)</x:t>
  </x:si>
  <x:si>
    <x:t xml:space="preserve">UT03 – BookingServiceImpl.createBooking – ช่วงเวลาที่จองได้</x:t>
  </x:si>
  <x:si>
    <x:t xml:space="preserve">Robustness Testing</x:t>
  </x:si>
  <x:si>
    <x:t xml:space="preserve">UT04 – BookingRepository.findConflictingRoomBookingsWithCleaningBuffer + createBooking – เวลาทับซ้อน</x:t>
  </x:si>
  <x:si>
    <x:t xml:space="preserve">Robustness Testing (ขอบด้านเดียว)</x:t>
  </x:si>
  <x:si>
    <x:t xml:space="preserve">UT05 – BookingServiceImpl.cancelBooking – ยกเลิกการจอง</x:t>
  </x:si>
  <x:si>
    <x:t xml:space="preserve">Decision Table (Extended Entry)</x:t>
  </x:si>
  <x:si>
    <x:t xml:space="preserve">UT06 – BookingServiceImpl.cancelBooking – กฎลูกค้ายกเลิกล่วงหน้า ≥ 2 ชั่วโมง</x:t>
  </x:si>
  <x:si>
    <x:t xml:space="preserve">UT07 – BookingServiceImpl.getBookingById – สิทธิ์การดูรายการจอง</x:t>
  </x:si>
  <x:si>
    <x:t xml:space="preserve">UT08 – Booking State Pattern (Booking.confirm/checkIn/startService/complete/cancel/markNoShow)</x:t>
  </x:si>
  <x:si>
    <x:t xml:space="preserve">Decision Table (Extended Entry) แบบ State Transition Table</x:t>
  </x:si>
  <x:si>
    <x:t xml:space="preserve">UT09 – BookingStateFactory.getState(BookingStatus)</x:t>
  </x:si>
  <x:si>
    <x:t xml:space="preserve">Strong Normal Equivalence Class Testing (ทุกค่าใน enum)</x:t>
  </x:si>
  <x:si>
    <x:t xml:space="preserve">UT10 – AvailabilityServiceImpl.checkAvailability – จำนวนรอบเวลาตามระยะเวลาบริการ</x:t>
  </x:si>
  <x:si>
    <x:t xml:space="preserve">UT11 – AvailabilityServiceImpl.checkAvailability – สภาพร้านและทรัพยากร</x:t>
  </x:si>
  <x:si>
    <x:t xml:space="preserve">UT12 – BookingMapper (toMyBookingResponse / toBookingResponse / list)</x:t>
  </x:si>
  <x:si>
    <x:t xml:space="preserve">Weak Normal Equivalence Class Testing</x:t>
  </x:si>
  <x:si>
    <x:t xml:space="preserve">Payment</x:t>
  </x:si>
  <x:si>
    <x:t xml:space="preserve">UT13 – PaymentServiceImpl.processPayment – ตรวจเงื่อนไขและผลการชำระ</x:t>
  </x:si>
  <x:si>
    <x:t xml:space="preserve">UT14 – PaymentServiceImpl.processPayment – ส่วนลดและสถานะ booking หลังชำระ</x:t>
  </x:si>
  <x:si>
    <x:t xml:space="preserve">UT15 – FixedAmountDiscountStrategy (WELCOME100)</x:t>
  </x:si>
  <x:si>
    <x:t xml:space="preserve">UT16 – PercentageDiscountStrategy (FIWDEE20)</x:t>
  </x:si>
  <x:si>
    <x:t xml:space="preserve">UT17 – DiscountStrategyFactory.findStrategy(promoCode)</x:t>
  </x:si>
  <x:si>
    <x:t xml:space="preserve">UT18 – PaymentStrategyFactory + Cash/QR/CardPaymentStrategy</x:t>
  </x:si>
  <x:si>
    <x:t xml:space="preserve">Strong Normal Equivalence Class Testing (ทุกค่าใน PaymentMethod)</x:t>
  </x:si>
  <x:si>
    <x:t xml:space="preserve">Refund</x:t>
  </x:si>
  <x:si>
    <x:t xml:space="preserve">UT19 – RefundServiceImpl.processRefund – จำนวนเงินคืน</x:t>
  </x:si>
  <x:si>
    <x:t xml:space="preserve">UT20 – RefundServiceImpl – เงื่อนไขอื่นของการคืนเงิน</x:t>
  </x:si>
  <x:si>
    <x:t xml:space="preserve">Queue</x:t>
  </x:si>
  <x:si>
    <x:t xml:space="preserve">UT21 – QueueServiceImpl.checkInBooking – ช่วงเวลาที่ check-in ได้</x:t>
  </x:si>
  <x:si>
    <x:t xml:space="preserve">UT22 – QueueServiceImpl – สถานะ booking ตอน check-in และเลขคิว</x:t>
  </x:si>
  <x:si>
    <x:t xml:space="preserve">UT23 – QueueServiceImpl.updateQueueStatus – การเปลี่ยนสถานะคิว</x:t>
  </x:si>
  <x:si>
    <x:t xml:space="preserve">UT24 – TherapistExecutionServiceImpl – เริ่ม/จบการให้บริการ</x:t>
  </x:si>
  <x:si>
    <x:t xml:space="preserve">Review</x:t>
  </x:si>
  <x:si>
    <x:t xml:space="preserve">UT25 – ReviewServiceImpl.submitReview – คะแนน 3 ด้าน</x:t>
  </x:si>
  <x:si>
    <x:t xml:space="preserve">UT26 – ReviewServiceImpl.submitReview – เงื่อนไขอื่น</x:t>
  </x:si>
  <x:si>
    <x:t xml:space="preserve">Auth &amp; User</x:t>
  </x:si>
  <x:si>
    <x:t xml:space="preserve">UT27 – AuthServiceImpl.login</x:t>
  </x:si>
  <x:si>
    <x:t xml:space="preserve">UT28 – AuthServiceImpl.register</x:t>
  </x:si>
  <x:si>
    <x:t xml:space="preserve">UT29 – UserServiceImpl.updateProfile</x:t>
  </x:si>
  <x:si>
    <x:t xml:space="preserve">UT30 – UserSessionServiceImpl – สถานะออนไลน์ (หน้าต่าง 15 นาที)</x:t>
  </x:si>
  <x:si>
    <x:t xml:space="preserve">UT31 – JwtTokenProvider</x:t>
  </x:si>
  <x:si>
    <x:t xml:space="preserve">Admin resources</x:t>
  </x:si>
  <x:si>
    <x:t xml:space="preserve">UT32 – RoomServiceImpl</x:t>
  </x:si>
  <x:si>
    <x:t xml:space="preserve">UT33 – ServiceCatalogServiceImpl</x:t>
  </x:si>
  <x:si>
    <x:t xml:space="preserve">Weak Robust Equivalence Class Testing (ใช้ค่าขอบเป็นตัวแทนคลาส)</x:t>
  </x:si>
  <x:si>
    <x:t xml:space="preserve">UT34 – TherapistServiceImpl.updateSchedule – กะทำงาน</x:t>
  </x:si>
  <x:si>
    <x:t xml:space="preserve">UT35 – ShopServiceImpl.updateShop – เวลาเปิด–ปิด</x:t>
  </x:si>
  <x:si>
    <x:t xml:space="preserve">Report</x:t>
  </x:si>
  <x:si>
    <x:t xml:space="preserve">UT36 – ReportServiceImpl.getRevenueReport – ช่วงวันที่</x:t>
  </x:si>
  <x:si>
    <x:t xml:space="preserve">Total</x:t>
  </x:si>
  <x:si>
    <x:t xml:space="preserve">Defect No</x:t>
  </x:si>
  <x:si>
    <x:t xml:space="preserve">Defect Title</x:t>
  </x:si>
  <x:si>
    <x:t xml:space="preserve">Report Date</x:t>
  </x:si>
  <x:si>
    <x:t xml:space="preserve">Fix date</x:t>
  </x:si>
  <x:si>
    <x:t xml:space="preserve">Reporter</x:t>
  </x:si>
  <x:si>
    <x:t xml:space="preserve">Defect Status</x:t>
  </x:si>
  <x:si>
    <x:t xml:space="preserve">Defect Severity</x:t>
  </x:si>
  <x:si>
    <x:t xml:space="preserve">Defect Priority</x:t>
  </x:si>
  <x:si>
    <x:t xml:space="preserve">Closed By</x:t>
  </x:si>
  <x:si>
    <x:t xml:space="preserve">Defect Details</x:t>
  </x:si>
  <x:si>
    <x:t xml:space="preserve">DEF-001</x:t>
  </x:si>
  <x:si>
    <x:t xml:space="preserve">จองหมอนวดนอกกะทำงานได้ (ตรวจแค่ isDayOff)</x:t>
  </x:si>
  <x:si>
    <x:t xml:space="preserve">09/10/2026</x:t>
  </x:si>
  <x:si>
    <x:t xml:space="preserve">Piyachayanin</x:t>
  </x:si>
  <x:si>
    <x:t xml:space="preserve">High</x:t>
  </x:si>
  <x:si>
    <x:t xml:space="preserve">DEF-002</x:t>
  </x:si>
  <x:si>
    <x:t xml:space="preserve">createBooking ไม่ตรวจเวลา: จองย้อนหลัง, จองกระชั้นกว่า 30 นาที, เกิน 14 วัน, นอกเวลาทำการได้</x:t>
  </x:si>
  <x:si>
    <x:t xml:space="preserve">DEF-003</x:t>
  </x:si>
  <x:si>
    <x:t xml:space="preserve">ยกเลิก booking ที่จ่ายเงินแล้วไม่ส่งเข้ากระบวนการคืนเงิน</x:t>
  </x:si>
  <x:si>
    <x:t xml:space="preserve">Medium</x:t>
  </x:si>
  <x:si>
    <x:t xml:space="preserve">DEF-004</x:t>
  </x:si>
  <x:si>
    <x:t xml:space="preserve">cancelBooking / updateBookingStatus ไม่ publish BookingStatusChangedEvent</x:t>
  </x:si>
  <x:si>
    <x:t xml:space="preserve">Low</x:t>
  </x:si>
  <x:si>
    <x:t xml:space="preserve">DEF-005</x:t>
  </x:si>
  <x:si>
    <x:t xml:space="preserve">เปลี่ยนเป็น NO_SHOW ได้ทันทีโดยไม่ตรวจว่าเลยเวลานัด 15 นาที</x:t>
  </x:si>
  <x:si>
    <x:t xml:space="preserve">DEF-006</x:t>
  </x:si>
  <x:si>
    <x:t xml:space="preserve">checkAvailability คืนรอบเวลาผิดเมื่อ durationMinutes ยาวจนเวลาวนข้ามเที่ยงคืน</x:t>
  </x:si>
  <x:si>
    <x:t xml:space="preserve">DEF-007</x:t>
  </x:si>
  <x:si>
    <x:t xml:space="preserve">Booking ที่ COMPLETED ยังล็อกห้องและหมอนวด</x:t>
  </x:si>
  <x:si>
    <x:t xml:space="preserve">DEF-008</x:t>
  </x:si>
  <x:si>
    <x:t xml:space="preserve">ชำระเงินตอน CHECKED_IN แล้ว Booking กลายเป็น COMPLETED (ข้าม IN_SERVICE)</x:t>
  </x:si>
  <x:si>
    <x:t xml:space="preserve">DEF-009</x:t>
  </x:si>
  <x:si>
    <x:t xml:space="preserve">เปลี่ยนสถานะ Booking ตอนชำระเงินแต่ไม่ publish BookingStatusChangedEvent</x:t>
  </x:si>
  <x:si>
    <x:t xml:space="preserve">DEF-010</x:t>
  </x:si>
  <x:si>
    <x:t xml:space="preserve">รับชำระเงินของ Booking ที่ CANCELLED / NO_SHOW ได้</x:t>
  </x:si>
  <x:si>
    <x:t xml:space="preserve">Equivalence Class Design</x:t>
  </x:si>
  <x:si>
    <x:t xml:space="preserve">Valid EC</x:t>
  </x:si>
  <x:si>
    <x:t xml:space="preserve">Invalid EC</x:t>
  </x:si>
  <x:si>
    <x:t xml:space="preserve">EC ID</x:t>
  </x:si>
  <x:si>
    <x:t xml:space="preserve">Condition</x:t>
  </x:si>
  <x:si>
    <x:t xml:space="preserve">V1</x:t>
  </x:si>
  <x:si>
    <x:t xml:space="preserve">currentUser เป็น CUSTOMER และมีโปรไฟล์ Customer</x:t>
  </x:si>
  <x:si>
    <x:t xml:space="preserve">I1</x:t>
  </x:si>
  <x:si>
    <x:t xml:space="preserve">currentUser = null</x:t>
  </x:si>
  <x:si>
    <x:t xml:space="preserve">V2</x:t>
  </x:si>
  <x:si>
    <x:t xml:space="preserve">currentUser เป็น RECEPTIONIST/OWNER และระบุ customerId ที่มีอยู่</x:t>
  </x:si>
  <x:si>
    <x:t xml:space="preserve">I2</x:t>
  </x:si>
  <x:si>
    <x:t xml:space="preserve">CUSTOMER แต่ไม่พบโปรไฟล์ Customer</x:t>
  </x:si>
  <x:si>
    <x:t xml:space="preserve">V3</x:t>
  </x:si>
  <x:si>
    <x:t xml:space="preserve">serviceId มีอยู่ และ isActive = true</x:t>
  </x:si>
  <x:si>
    <x:t xml:space="preserve">I3</x:t>
  </x:si>
  <x:si>
    <x:t xml:space="preserve">พนักงานไม่ระบุ customerId</x:t>
  </x:si>
  <x:si>
    <x:t xml:space="preserve">V4</x:t>
  </x:si>
  <x:si>
    <x:t xml:space="preserve">durationOptionId มีอยู่, active และเป็นของ service ที่เลือก</x:t>
  </x:si>
  <x:si>
    <x:t xml:space="preserve">I4</x:t>
  </x:si>
  <x:si>
    <x:t xml:space="preserve">พนักงานระบุ customerId ที่ไม่มีอยู่</x:t>
  </x:si>
  <x:si>
    <x:t xml:space="preserve">V5</x:t>
  </x:si>
  <x:si>
    <x:t xml:space="preserve">startDateTime ไม่เป็น null</x:t>
  </x:si>
  <x:si>
    <x:t xml:space="preserve">I5</x:t>
  </x:si>
  <x:si>
    <x:t xml:space="preserve">serviceId ไม่มีอยู่</x:t>
  </x:si>
  <x:si>
    <x:t xml:space="preserve">V6</x:t>
  </x:si>
  <x:si>
    <x:t xml:space="preserve">therapistId = null (ระบบจัดสรร) หรือหมอนวด active ที่มีทักษะ</x:t>
  </x:si>
  <x:si>
    <x:t xml:space="preserve">I6</x:t>
  </x:si>
  <x:si>
    <x:t xml:space="preserve">service isActive = false</x:t>
  </x:si>
  <x:si>
    <x:t xml:space="preserve">I7</x:t>
  </x:si>
  <x:si>
    <x:t xml:space="preserve">durationOptionId ไม่มีอยู่</x:t>
  </x:si>
  <x:si>
    <x:t xml:space="preserve">I8</x:t>
  </x:si>
  <x:si>
    <x:t xml:space="preserve">durationOption เป็นของ service อื่น</x:t>
  </x:si>
  <x:si>
    <x:t xml:space="preserve">I9</x:t>
  </x:si>
  <x:si>
    <x:t xml:space="preserve">durationOption isActive = false</x:t>
  </x:si>
  <x:si>
    <x:t xml:space="preserve">I10</x:t>
  </x:si>
  <x:si>
    <x:t xml:space="preserve">startDateTime = null</x:t>
  </x:si>
  <x:si>
    <x:t xml:space="preserve">I11</x:t>
  </x:si>
  <x:si>
    <x:t xml:space="preserve">therapistId ไม่มีอยู่</x:t>
  </x:si>
  <x:si>
    <x:t xml:space="preserve">I12</x:t>
  </x:si>
  <x:si>
    <x:t xml:space="preserve">หมอนวด isActive = false</x:t>
  </x:si>
  <x:si>
    <x:t xml:space="preserve">I13</x:t>
  </x:si>
  <x:si>
    <x:t xml:space="preserve">หมอนวดไม่มีทักษะบริการนี้</x:t>
  </x:si>
  <x:si>
    <x:t xml:space="preserve">Test Case Design and Test Results</x:t>
  </x:si>
  <x:si>
    <x:t xml:space="preserve">Project Name: </x:t>
  </x:si>
  <x:si>
    <x:t xml:space="preserve">BookingServiceImpl.createBooking – ข้อมูลนำเข้าและผู้ทำรายการ</x:t>
  </x:si>
  <x:si>
    <x:t xml:space="preserve">Student ID: </x:t>
  </x:si>
  <x:si>
    <x:t xml:space="preserve">673380049-4</x:t>
  </x:si>
  <x:si>
    <x:t xml:space="preserve">Test Strategy: </x:t>
  </x:si>
  <x:si>
    <x:t xml:space="preserve">Functional testing - Weak Robust Equivalence Class Testing</x:t>
  </x:si>
  <x:si>
    <x:t xml:space="preserve">Designer: </x:t>
  </x:si>
  <x:si>
    <x:t xml:space="preserve">Test Environtment: </x:t>
  </x:si>
  <x:si>
    <x:t xml:space="preserve">Lenovo LOQ 15AHP11, CPU AMD Ryzen 7 250, Memory 16 GB DDR5, GPU NVIDIA GeForce RTX 5050 Laptop, OS Window 11</x:t>
  </x:si>
  <x:si>
    <x:t xml:space="preserve">Date:</x:t>
  </x:si>
  <x:si>
    <x:t xml:space="preserve">Method under test: </x:t>
  </x:si>
  <x:si>
    <x:t xml:space="preserve">BookingResponseDTO createBooking(BookingRequestDTO requestDTO, User currentUser)</x:t>
  </x:si>
  <x:si>
    <x:t xml:space="preserve">Requirement อ้างอิง: </x:t>
  </x:si>
  <x:si>
    <x:t xml:space="preserve">UC-07 Preconditions • BR-RES-04 • SRS 3.3</x:t>
  </x:si>
  <x:si>
    <x:t xml:space="preserve">Test Case ID</x:t>
  </x:si>
  <x:si>
    <x:t xml:space="preserve">Input</x:t>
  </x:si>
  <x:si>
    <x:t xml:space="preserve">Expected Result</x:t>
  </x:si>
  <x:si>
    <x:t xml:space="preserve">Actual Result</x:t>
  </x:si>
  <x:si>
    <x:t xml:space="preserve">Status (Pass/Fail/No run)</x:t>
  </x:si>
  <x:si>
    <x:t xml:space="preserve">currentUser</x:t>
  </x:si>
  <x:si>
    <x:t xml:space="preserve">customerId</x:t>
  </x:si>
  <x:si>
    <x:t xml:space="preserve">serviceId</x:t>
  </x:si>
  <x:si>
    <x:t xml:space="preserve">durationOptionId</x:t>
  </x:si>
  <x:si>
    <x:t xml:space="preserve">therapistId</x:t>
  </x:si>
  <x:si>
    <x:t xml:space="preserve">startDateTime</x:t>
  </x:si>
  <x:si>
    <x:t xml:space="preserve">UT01-TC001</x:t>
  </x:si>
  <x:si>
    <x:t xml:space="preserve">Customer#1</x:t>
  </x:si>
  <x:si>
    <x:t xml:space="preserve">−</x:t>
  </x:si>
  <x:si>
    <x:t xml:space="preserve">1</x:t>
  </x:si>
  <x:si>
    <x:t xml:space="preserve">11</x:t>
  </x:si>
  <x:si>
    <x:t xml:space="preserve">5</x:t>
  </x:si>
  <x:si>
    <x:t xml:space="preserve">09/11 15:30</x:t>
  </x:si>
  <x:si>
    <x:t xml:space="preserve">(V1,V3–V6) สร้างสำเร็จ: status = PENDING, bookingChannel = ONLINE, totalPrice = 600.00, end = 16:30, therapist = T5, room เป็นห้อง SINGLE, bookingReferenceCode รูปแบบ BK-yyyyMMdd-XXXXXX, save ถูกเรียก 1 ครั้ง</x:t>
  </x:si>
  <x:si>
    <x:t xml:space="preserve">UT01-TC002</x:t>
  </x:si>
  <x:si>
    <x:t xml:space="preserve">Receptionist#50</x:t>
  </x:si>
  <x:si>
    <x:t xml:space="preserve">null</x:t>
  </x:si>
  <x:si>
    <x:t xml:space="preserve">(V2,V6) สร้างสำเร็จ: status = CONFIRMED, bookingChannel = WALK_IN, therapist ถูกจัดสรรอัตโนมัติและมีทักษะ S1</x:t>
  </x:si>
  <x:si>
    <x:t xml:space="preserve">UT01-TC003</x:t>
  </x:si>
  <x:si>
    <x:t xml:space="preserve">BusinessException 401</x:t>
  </x:si>
  <x:si>
    <x:t xml:space="preserve">UT01-TC004</x:t>
  </x:si>
  <x:si>
    <x:t xml:space="preserve">Customer#9 (ไม่มีโปรไฟล์)</x:t>
  </x:si>
  <x:si>
    <x:t xml:space="preserve">NotFoundException</x:t>
  </x:si>
  <x:si>
    <x:t xml:space="preserve">UT01-TC005</x:t>
  </x:si>
  <x:si>
    <x:t xml:space="preserve">ValidationException "Customer ID is required..."</x:t>
  </x:si>
  <x:si>
    <x:t xml:space="preserve">ValidationException</x:t>
  </x:si>
  <x:si>
    <x:t xml:space="preserve">UT01-TC006</x:t>
  </x:si>
  <x:si>
    <x:t xml:space="preserve">999</x:t>
  </x:si>
  <x:si>
    <x:t xml:space="preserve">UT01-TC007</x:t>
  </x:si>
  <x:si>
    <x:t xml:space="preserve">UT01-TC008</x:t>
  </x:si>
  <x:si>
    <x:t xml:space="preserve">3</x:t>
  </x:si>
  <x:si>
    <x:t xml:space="preserve">31</x:t>
  </x:si>
  <x:si>
    <x:t xml:space="preserve">ValidationException "Selected service is inactive"</x:t>
  </x:si>
  <x:si>
    <x:t xml:space="preserve">UT01-TC009</x:t>
  </x:si>
  <x:si>
    <x:t xml:space="preserve">UT01-TC010</x:t>
  </x:si>
  <x:si>
    <x:t xml:space="preserve">21</x:t>
  </x:si>
  <x:si>
    <x:t xml:space="preserve">ValidationException "Duration option does not belong..."</x:t>
  </x:si>
  <x:si>
    <x:t xml:space="preserve">UT01-TC011</x:t>
  </x:si>
  <x:si>
    <x:t xml:space="preserve">12</x:t>
  </x:si>
  <x:si>
    <x:t xml:space="preserve">ValidationException "Selected duration option is inactive"</x:t>
  </x:si>
  <x:si>
    <x:t xml:space="preserve">UT01-TC012</x:t>
  </x:si>
  <x:si>
    <x:t xml:space="preserve">ValidationException "Start date time is required"</x:t>
  </x:si>
  <x:si>
    <x:t xml:space="preserve">UT01-TC013</x:t>
  </x:si>
  <x:si>
    <x:t xml:space="preserve">UT01-TC014</x:t>
  </x:si>
  <x:si>
    <x:t xml:space="preserve">7</x:t>
  </x:si>
  <x:si>
    <x:t xml:space="preserve">ValidationException "Selected therapist is inactive"</x:t>
  </x:si>
  <x:si>
    <x:t xml:space="preserve">UT01-TC015</x:t>
  </x:si>
  <x:si>
    <x:t xml:space="preserve">6</x:t>
  </x:si>
  <x:si>
    <x:t xml:space="preserve">ValidationException "...does not possess the skill..."</x:t>
  </x:si>
  <x:si>
    <x:t xml:space="preserve">Rule#1</x:t>
  </x:si>
  <x:si>
    <x:t xml:space="preserve">Rule#2</x:t>
  </x:si>
  <x:si>
    <x:t xml:space="preserve">Rule#3</x:t>
  </x:si>
  <x:si>
    <x:t xml:space="preserve">Rule#4</x:t>
  </x:si>
  <x:si>
    <x:t xml:space="preserve">Rule#5</x:t>
  </x:si>
  <x:si>
    <x:t xml:space="preserve">Rule#6</x:t>
  </x:si>
  <x:si>
    <x:t xml:space="preserve">Rule#7</x:t>
  </x:si>
  <x:si>
    <x:t xml:space="preserve">Rule#8</x:t>
  </x:si>
  <x:si>
    <x:t xml:space="preserve">C1: ระบุ therapistId</x:t>
  </x:si>
  <x:si>
    <x:t xml:space="preserve">Y</x:t>
  </x:si>
  <x:si>
    <x:t xml:space="preserve">N</x:t>
  </x:si>
  <x:si>
    <x:t xml:space="preserve">C2: หมอนวดที่ระบุไม่พร้อม (isDayOff หรือเวลาจองอยู่นอกกะ)</x:t>
  </x:si>
  <x:si>
    <x:t xml:space="preserve">C3: หมอนวดที่ระบุมีคิวทับ</x:t>
  </x:si>
  <x:si>
    <x:t xml:space="preserve">C4: (ไม่ระบุ) มีหมอนวดที่มีทักษะ ไม่หยุด และว่าง ≥ 1 คน</x:t>
  </x:si>
  <x:si>
    <x:t xml:space="preserve">C5: ระบุ roomId</x:t>
  </x:si>
  <x:si>
    <x:t xml:space="preserve">C6: ห้องที่ระบุ active และประเภทตรงบริการ</x:t>
  </x:si>
  <x:si>
    <x:t xml:space="preserve">C7: ห้องที่ระบุ/ห้องผู้สมัครว่าง (รวม buffer)</x:t>
  </x:si>
  <x:si>
    <x:t xml:space="preserve">Action</x:t>
  </x:si>
  <x:si>
    <x:t xml:space="preserve">A1: ConflictException หมอนวดหยุด/นอกกะ</x:t>
  </x:si>
  <x:si>
    <x:t xml:space="preserve">X</x:t>
  </x:si>
  <x:si>
    <x:t xml:space="preserve">A2: ConflictException หมอนวดไม่ว่าง</x:t>
  </x:si>
  <x:si>
    <x:t xml:space="preserve">A3: ConflictException ไม่มีหมอนวดว่าง</x:t>
  </x:si>
  <x:si>
    <x:t xml:space="preserve">A4: ValidationException ห้องปิด/ประเภทไม่ตรง</x:t>
  </x:si>
  <x:si>
    <x:t xml:space="preserve">A5: ConflictException ห้องไม่ว่าง/ไม่มีห้องว่าง</x:t>
  </x:si>
  <x:si>
    <x:t xml:space="preserve">A6: save Booking พร้อม therapist + room</x:t>
  </x:si>
  <x:si>
    <x:t xml:space="preserve">Impossible</x:t>
  </x:si>
  <x:si>
    <x:t xml:space="preserve">ทุก rule ที่ไม่ใช่ A6 ต้องไม่เรียก bookingRepository.save</x:t>
  </x:si>
  <x:si>
    <x:t xml:space="preserve">BookingServiceImpl.createBooking – จัดสรรหมอนวดและห้อง</x:t>
  </x:si>
  <x:si>
    <x:t xml:space="preserve">Functional testing - Decision Table (Limited Entry)</x:t>
  </x:si>
  <x:si>
    <x:t xml:space="preserve">createBooking(...) ส่วนที่ 3 (หมอนวด) และ 4 (ห้อง + cleaning buffer 15 นาที)</x:t>
  </x:si>
  <x:si>
    <x:t xml:space="preserve">UC-07 A1, E2, E3 • UC-08a/08b • BR-BKG-01 • BR-RES-03 (buffer 15 นาที)</x:t>
  </x:si>
  <x:si>
    <x:t xml:space="preserve">Rule#</x:t>
  </x:si>
  <x:si>
    <x:t xml:space="preserve">roomId</x:t>
  </x:si>
  <x:si>
    <x:t xml:space="preserve">สภาพข้อมูล (mock)</x:t>
  </x:si>
  <x:si>
    <x:t xml:space="preserve">R1</x:t>
  </x:si>
  <x:si>
    <x:t xml:space="preserve">UT02-TC001</x:t>
  </x:si>
  <x:si>
    <x:t xml:space="preserve">T5 isDayOff = true วันที่ 09/11</x:t>
  </x:si>
  <x:si>
    <x:t xml:space="preserve">ConflictException</x:t>
  </x:si>
  <x:si>
    <x:t xml:space="preserve">UT02-TC002</x:t>
  </x:si>
  <x:si>
    <x:t xml:space="preserve">T5 มีกะ 10:00–14:00 แต่จอง 15:30–16:30</x:t>
  </x:si>
  <x:si>
    <x:t xml:space="preserve">R2</x:t>
  </x:si>
  <x:si>
    <x:t xml:space="preserve">UT02-TC003</x:t>
  </x:si>
  <x:si>
    <x:t xml:space="preserve">T5 มีคิว 15:00–16:00 สถานะ CONFIRMED</x:t>
  </x:si>
  <x:si>
    <x:t xml:space="preserve">ConflictException "...already booked..."</x:t>
  </x:si>
  <x:si>
    <x:t xml:space="preserve">R3</x:t>
  </x:si>
  <x:si>
    <x:t xml:space="preserve">UT02-TC004</x:t>
  </x:si>
  <x:si>
    <x:t xml:space="preserve">ผู้มีทักษะ S1 มีแค่ T5, T8 — T5 หยุด, T8 มีคิวทับ</x:t>
  </x:si>
  <x:si>
    <x:t xml:space="preserve">ConflictException "No therapists available..."</x:t>
  </x:si>
  <x:si>
    <x:t xml:space="preserve">R4</x:t>
  </x:si>
  <x:si>
    <x:t xml:space="preserve">UT02-TC005</x:t>
  </x:si>
  <x:si>
    <x:t xml:space="preserve">201 (COUPLE)</x:t>
  </x:si>
  <x:si>
    <x:t xml:space="preserve">T5 ว่าง</x:t>
  </x:si>
  <x:si>
    <x:t xml:space="preserve">ValidationException "Selected room type COUPLE is not suitable..."</x:t>
  </x:si>
  <x:si>
    <x:t xml:space="preserve">UT02-TC006</x:t>
  </x:si>
  <x:si>
    <x:t xml:space="preserve">103 (inactive)</x:t>
  </x:si>
  <x:si>
    <x:t xml:space="preserve">ValidationException "Selected room is inactive"</x:t>
  </x:si>
  <x:si>
    <x:t xml:space="preserve">R5</x:t>
  </x:si>
  <x:si>
    <x:t xml:space="preserve">UT02-TC007</x:t>
  </x:si>
  <x:si>
    <x:t xml:space="preserve">101</x:t>
  </x:si>
  <x:si>
    <x:t xml:space="preserve">R101 มีคิว 14:00–15:20</x:t>
  </x:si>
  <x:si>
    <x:t xml:space="preserve">ConflictException "Room R101 is occupied or undergoing cleaning buffer..."</x:t>
  </x:si>
  <x:si>
    <x:t xml:space="preserve">R6</x:t>
  </x:si>
  <x:si>
    <x:t xml:space="preserve">UT02-TC008</x:t>
  </x:si>
  <x:si>
    <x:t xml:space="preserve">102</x:t>
  </x:si>
  <x:si>
    <x:t xml:space="preserve">T5 และ R102 ว่าง</x:t>
  </x:si>
  <x:si>
    <x:t xml:space="preserve">สำเร็จ: therapist = T5, room = R102</x:t>
  </x:si>
  <x:si>
    <x:t xml:space="preserve">R7</x:t>
  </x:si>
  <x:si>
    <x:t xml:space="preserve">UT02-TC009</x:t>
  </x:si>
  <x:si>
    <x:t xml:space="preserve">T8 ว่าง • R101, R102 ไม่ว่าง</x:t>
  </x:si>
  <x:si>
    <x:t xml:space="preserve">ConflictException "No suitable rooms available..."</x:t>
  </x:si>
  <x:si>
    <x:t xml:space="preserve">R8</x:t>
  </x:si>
  <x:si>
    <x:t xml:space="preserve">UT02-TC010</x:t>
  </x:si>
  <x:si>
    <x:t xml:space="preserve">T5 หยุด, T8 ว่าง • R101 ไม่ว่าง, R102 ว่าง</x:t>
  </x:si>
  <x:si>
    <x:t xml:space="preserve">สำเร็จ: therapist = T8 (ข้ามคนที่หยุด), room = R102 (ข้ามห้องไม่ว่างและห้อง COUPLE)</x:t>
  </x:si>
  <x:si>
    <x:t xml:space="preserve">สำเร็จ: therapist = T8 , room = R102</x:t>
  </x:si>
  <x:si>
    <x:t xml:space="preserve">lead (นาทีล่วงหน้า)</x:t>
  </x:si>
  <x:si>
    <x:t xml:space="preserve">เวลาเริ่ม (บริการ 60 นาที)</x:t>
  </x:si>
  <x:si>
    <x:t xml:space="preserve">min-</x:t>
  </x:si>
  <x:si>
    <x:t xml:space="preserve">29</x:t>
  </x:si>
  <x:si>
    <x:t xml:space="preserve">09:59</x:t>
  </x:si>
  <x:si>
    <x:t xml:space="preserve">BookingServiceImpl.createBooking – ช่วงเวลาที่จองได้</x:t>
  </x:si>
  <x:si>
    <x:t xml:space="preserve">min</x:t>
  </x:si>
  <x:si>
    <x:t xml:space="preserve">30</x:t>
  </x:si>
  <x:si>
    <x:t xml:space="preserve">10:00</x:t>
  </x:si>
  <x:si>
    <x:t xml:space="preserve">Functional testing - Robustness Testing</x:t>
  </x:si>
  <x:si>
    <x:t xml:space="preserve">min+</x:t>
  </x:si>
  <x:si>
    <x:t xml:space="preserve">10:01</x:t>
  </x:si>
  <x:si>
    <x:t xml:space="preserve">nom</x:t>
  </x:si>
  <x:si>
    <x:t xml:space="preserve">10110</x:t>
  </x:si>
  <x:si>
    <x:t xml:space="preserve">15:30</x:t>
  </x:si>
  <x:si>
    <x:t xml:space="preserve">createBooking(...) – เงื่อนไขของ startDateTime</x:t>
  </x:si>
  <x:si>
    <x:t xml:space="preserve">max-</x:t>
  </x:si>
  <x:si>
    <x:t xml:space="preserve">20159</x:t>
  </x:si>
  <x:si>
    <x:t xml:space="preserve">20:59</x:t>
  </x:si>
  <x:si>
    <x:t xml:space="preserve">BR-BKG-02 Operating Hours • BR-BKG-03 (ล่วงหน้า ≥ 30 นาที) • SRS 3.3 Step 2 (สูงสุด 14 วัน) • ดู Q2</x:t>
  </x:si>
  <x:si>
    <x:t xml:space="preserve">max+</x:t>
  </x:si>
  <x:si>
    <x:t xml:space="preserve">20161</x:t>
  </x:si>
  <x:si>
    <x:t xml:space="preserve">21:01</x:t>
  </x:si>
  <x:si>
    <x:t xml:space="preserve">lead (นาที)</x:t>
  </x:si>
  <x:si>
    <x:t xml:space="preserve">เวลาเริ่ม</x:t>
  </x:si>
  <x:si>
    <x:t xml:space="preserve">UT03-TC001</x:t>
  </x:si>
  <x:si>
    <x:t xml:space="preserve">2026-11-09 15:30</x:t>
  </x:si>
  <x:si>
    <x:t xml:space="preserve">สร้างสำเร็จ status = PENDING</x:t>
  </x:si>
  <x:si>
    <x:t xml:space="preserve">สร้างสำเร็จ</x:t>
  </x:si>
  <x:si>
    <x:t xml:space="preserve">UT03-TC002</x:t>
  </x:si>
  <x:si>
    <x:t xml:space="preserve">2026-11-02 15:29</x:t>
  </x:si>
  <x:si>
    <x:t xml:space="preserve">15:29</x:t>
  </x:si>
  <x:si>
    <x:t xml:space="preserve">ValidationException ต้องจองล่วงหน้าอย่างน้อย 30 นาที</x:t>
  </x:si>
  <x:si>
    <x:t xml:space="preserve">UT03-TC003</x:t>
  </x:si>
  <x:si>
    <x:t xml:space="preserve">2026-11-02 15:30</x:t>
  </x:si>
  <x:si>
    <x:t xml:space="preserve">UT03-TC004</x:t>
  </x:si>
  <x:si>
    <x:t xml:space="preserve">2026-11-02 15:31</x:t>
  </x:si>
  <x:si>
    <x:t xml:space="preserve">15:31</x:t>
  </x:si>
  <x:si>
    <x:t xml:space="preserve">UT03-TC005</x:t>
  </x:si>
  <x:si>
    <x:t xml:space="preserve">2026-11-16 14:59</x:t>
  </x:si>
  <x:si>
    <x:t xml:space="preserve">14:59</x:t>
  </x:si>
  <x:si>
    <x:t xml:space="preserve">UT03-TC006</x:t>
  </x:si>
  <x:si>
    <x:t xml:space="preserve">2026-11-16 15:00</x:t>
  </x:si>
  <x:si>
    <x:t xml:space="preserve">20160</x:t>
  </x:si>
  <x:si>
    <x:t xml:space="preserve">15:00</x:t>
  </x:si>
  <x:si>
    <x:t xml:space="preserve">UT03-TC007</x:t>
  </x:si>
  <x:si>
    <x:t xml:space="preserve">2026-11-16 15:01</x:t>
  </x:si>
  <x:si>
    <x:t xml:space="preserve">15:01</x:t>
  </x:si>
  <x:si>
    <x:t xml:space="preserve">ValidationException จองล่วงหน้าได้ไม่เกิน 14 วัน</x:t>
  </x:si>
  <x:si>
    <x:t xml:space="preserve">UT03-TC008</x:t>
  </x:si>
  <x:si>
    <x:t xml:space="preserve">2026-11-09 09:59</x:t>
  </x:si>
  <x:si>
    <x:t xml:space="preserve">9779</x:t>
  </x:si>
  <x:si>
    <x:t xml:space="preserve">ValidationException เริ่มก่อนร้านเปิด</x:t>
  </x:si>
  <x:si>
    <x:t xml:space="preserve">UT03-TC009</x:t>
  </x:si>
  <x:si>
    <x:t xml:space="preserve">2026-11-09 10:00</x:t>
  </x:si>
  <x:si>
    <x:t xml:space="preserve">9780</x:t>
  </x:si>
  <x:si>
    <x:t xml:space="preserve">UT03-TC010</x:t>
  </x:si>
  <x:si>
    <x:t xml:space="preserve">2026-11-09 10:01</x:t>
  </x:si>
  <x:si>
    <x:t xml:space="preserve">9781</x:t>
  </x:si>
  <x:si>
    <x:t xml:space="preserve">UT03-TC011</x:t>
  </x:si>
  <x:si>
    <x:t xml:space="preserve">2026-11-09 20:59</x:t>
  </x:si>
  <x:si>
    <x:t xml:space="preserve">10439</x:t>
  </x:si>
  <x:si>
    <x:t xml:space="preserve">UT03-TC012</x:t>
  </x:si>
  <x:si>
    <x:t xml:space="preserve">2026-11-09 21:00</x:t>
  </x:si>
  <x:si>
    <x:t xml:space="preserve">10440</x:t>
  </x:si>
  <x:si>
    <x:t xml:space="preserve">21:00</x:t>
  </x:si>
  <x:si>
    <x:t xml:space="preserve">สร้างสำเร็จ (จบ 22:00 พอดี)</x:t>
  </x:si>
  <x:si>
    <x:t xml:space="preserve">UT03-TC013</x:t>
  </x:si>
  <x:si>
    <x:t xml:space="preserve">2026-11-09 21:01</x:t>
  </x:si>
  <x:si>
    <x:t xml:space="preserve">10441</x:t>
  </x:si>
  <x:si>
    <x:t xml:space="preserve">ValidationException จบ 22:01 เกินเวลาปิดร้าน</x:t>
  </x:si>
  <x:si>
    <x:t xml:space="preserve">ห้อง: end เดิม→start ใหม่</x:t>
  </x:si>
  <x:si>
    <x:t xml:space="preserve">ห้อง: end ใหม่→start เดิม</x:t>
  </x:si>
  <x:si>
    <x:t xml:space="preserve">หมอนวด: end เดิม→start ใหม่</x:t>
  </x:si>
  <x:si>
    <x:t xml:space="preserve">หมอนวด: end ใหม่→start เดิม</x:t>
  </x:si>
  <x:si>
    <x:t xml:space="preserve">ขอบ-1</x:t>
  </x:si>
  <x:si>
    <x:t xml:space="preserve">14</x:t>
  </x:si>
  <x:si>
    <x:t xml:space="preserve">-1</x:t>
  </x:si>
  <x:si>
    <x:t xml:space="preserve">BookingRepository.findConflictingRoomBookingsWithCleaningBuffer + createBooking – เวลาทับซ้อน</x:t>
  </x:si>
  <x:si>
    <x:t xml:space="preserve">ขอบ</x:t>
  </x:si>
  <x:si>
    <x:t xml:space="preserve">15</x:t>
  </x:si>
  <x:si>
    <x:t xml:space="preserve">0</x:t>
  </x:si>
  <x:si>
    <x:t xml:space="preserve">Functional testing - Robustness Testing (ขอบด้านเดียว)</x:t>
  </x:si>
  <x:si>
    <x:t xml:space="preserve">ขอบ+1</x:t>
  </x:si>
  <x:si>
    <x:t xml:space="preserve">16</x:t>
  </x:si>
  <x:si>
    <x:t xml:space="preserve">120</x:t>
  </x:si>
  <x:si>
    <x:t xml:space="preserve">default findConflictingRoomBookingsWithCleaningBuffer(roomId, start, end, 15, excluded) และ findConflictingTherapistBookings(...)</x:t>
  </x:si>
  <x:si>
    <x:t xml:space="preserve">BR-BKG-01 • BR-RES-03 • UC 6.1–6.2</x:t>
  </x:si>
  <x:si>
    <x:t xml:space="preserve">ทรัพยากร</x:t>
  </x:si>
  <x:si>
    <x:t xml:space="preserve">start ใหม่</x:t>
  </x:si>
  <x:si>
    <x:t xml:space="preserve">end ใหม่</x:t>
  </x:si>
  <x:si>
    <x:t xml:space="preserve">ระยะห่าง (นาที)</x:t>
  </x:si>
  <x:si>
    <x:t xml:space="preserve">UT04-TC001</x:t>
  </x:si>
  <x:si>
    <x:t xml:space="preserve">R101 + T1</x:t>
  </x:si>
  <x:si>
    <x:t xml:space="preserve">16:00</x:t>
  </x:si>
  <x:si>
    <x:t xml:space="preserve">17:00</x:t>
  </x:si>
  <x:si>
    <x:t xml:space="preserve">จองสำเร็จ (nom)</x:t>
  </x:si>
  <x:si>
    <x:t xml:space="preserve">จองสำเร็จ</x:t>
  </x:si>
  <x:si>
    <x:t xml:space="preserve">UT04-TC002</x:t>
  </x:si>
  <x:si>
    <x:t xml:space="preserve">ห้อง R101</x:t>
  </x:si>
  <x:si>
    <x:t xml:space="preserve">14:14</x:t>
  </x:si>
  <x:si>
    <x:t xml:space="preserve">15:14</x:t>
  </x:si>
  <x:si>
    <x:t xml:space="preserve">ConflictException ห้องไม่ว่าง (ยังอยู่ใน buffer)</x:t>
  </x:si>
  <x:si>
    <x:t xml:space="preserve">UT04-TC003</x:t>
  </x:si>
  <x:si>
    <x:t xml:space="preserve">14:15</x:t>
  </x:si>
  <x:si>
    <x:t xml:space="preserve">15:15</x:t>
  </x:si>
  <x:si>
    <x:t xml:space="preserve">UT04-TC004</x:t>
  </x:si>
  <x:si>
    <x:t xml:space="preserve">14:16</x:t>
  </x:si>
  <x:si>
    <x:t xml:space="preserve">15:16</x:t>
  </x:si>
  <x:si>
    <x:t xml:space="preserve">UT04-TC005</x:t>
  </x:si>
  <x:si>
    <x:t xml:space="preserve">11:46</x:t>
  </x:si>
  <x:si>
    <x:t xml:space="preserve">12:46</x:t>
  </x:si>
  <x:si>
    <x:t xml:space="preserve">ConflictException ห้องไม่ว่าง</x:t>
  </x:si>
  <x:si>
    <x:t xml:space="preserve">UT04-TC006</x:t>
  </x:si>
  <x:si>
    <x:t xml:space="preserve">11:45</x:t>
  </x:si>
  <x:si>
    <x:t xml:space="preserve">12:45</x:t>
  </x:si>
  <x:si>
    <x:t xml:space="preserve">UT04-TC007</x:t>
  </x:si>
  <x:si>
    <x:t xml:space="preserve">11:44</x:t>
  </x:si>
  <x:si>
    <x:t xml:space="preserve">12:44</x:t>
  </x:si>
  <x:si>
    <x:t xml:space="preserve">UT04-TC008</x:t>
  </x:si>
  <x:si>
    <x:t xml:space="preserve">หมอนวด T1</x:t>
  </x:si>
  <x:si>
    <x:t xml:space="preserve">13:59</x:t>
  </x:si>
  <x:si>
    <x:t xml:space="preserve">ConflictException หมอนวดไม่ว่าง</x:t>
  </x:si>
  <x:si>
    <x:t xml:space="preserve">UT04-TC009</x:t>
  </x:si>
  <x:si>
    <x:t xml:space="preserve">14:00</x:t>
  </x:si>
  <x:si>
    <x:t xml:space="preserve">UT04-TC010</x:t>
  </x:si>
  <x:si>
    <x:t xml:space="preserve">14:01</x:t>
  </x:si>
  <x:si>
    <x:t xml:space="preserve">UT04-TC011</x:t>
  </x:si>
  <x:si>
    <x:t xml:space="preserve">12:01</x:t>
  </x:si>
  <x:si>
    <x:t xml:space="preserve">13:01</x:t>
  </x:si>
  <x:si>
    <x:t xml:space="preserve">UT04-TC012</x:t>
  </x:si>
  <x:si>
    <x:t xml:space="preserve">12:00</x:t>
  </x:si>
  <x:si>
    <x:t xml:space="preserve">13:00</x:t>
  </x:si>
  <x:si>
    <x:t xml:space="preserve">UT04-TC013</x:t>
  </x:si>
  <x:si>
    <x:t xml:space="preserve">11:59</x:t>
  </x:si>
  <x:si>
    <x:t xml:space="preserve">12:59</x:t>
  </x:si>
  <x:si>
    <x:t xml:space="preserve">Equivalence class</x:t>
  </x:si>
  <x:si>
    <x:t xml:space="preserve">EC1 (ผู้ใช้) = { null, CUSTOMER, STAFF (RECEPTIONIST/OWNER) }</x:t>
  </x:si>
  <x:si>
    <x:t xml:space="preserve">EC2 (สถานะ) = { PC = PENDING/CONFIRMED, CI = CHECKED_IN, END = IN_SERVICE/COMPLETED/CANCELLED/NO_SHOW }</x:t>
  </x:si>
  <x:si>
    <x:t xml:space="preserve">EC3 (เวลาก่อนเริ่ม) = { ≥ 2 ชม., &lt; 2 ชม. }</x:t>
  </x:si>
  <x:si>
    <x:t xml:space="preserve">Rule#9</x:t>
  </x:si>
  <x:si>
    <x:t xml:space="preserve">Rule#10</x:t>
  </x:si>
  <x:si>
    <x:t xml:space="preserve">C1: currentUser</x:t>
  </x:si>
  <x:si>
    <x:t xml:space="preserve">CUST</x:t>
  </x:si>
  <x:si>
    <x:t xml:space="preserve">STAFF</x:t>
  </x:si>
  <x:si>
    <x:t xml:space="preserve">C2: พบ booking</x:t>
  </x:si>
  <x:si>
    <x:t xml:space="preserve">C3: เป็นเจ้าของ booking</x:t>
  </x:si>
  <x:si>
    <x:t xml:space="preserve">C4: เวลาก่อนเริ่ม</x:t>
  </x:si>
  <x:si>
    <x:t xml:space="preserve">&lt; 2</x:t>
  </x:si>
  <x:si>
    <x:t xml:space="preserve">≥ 2</x:t>
  </x:si>
  <x:si>
    <x:t xml:space="preserve">C5: สถานะ</x:t>
  </x:si>
  <x:si>
    <x:t xml:space="preserve">PC</x:t>
  </x:si>
  <x:si>
    <x:t xml:space="preserve">END</x:t>
  </x:si>
  <x:si>
    <x:t xml:space="preserve">CI</x:t>
  </x:si>
  <x:si>
    <x:t xml:space="preserve">C6: ชำระเงินแล้ว</x:t>
  </x:si>
  <x:si>
    <x:t xml:space="preserve">A1: BusinessException 401</x:t>
  </x:si>
  <x:si>
    <x:t xml:space="preserve">A2: NotFoundException</x:t>
  </x:si>
  <x:si>
    <x:t xml:space="preserve">A3: BusinessException 403</x:t>
  </x:si>
  <x:si>
    <x:t xml:space="preserve">A4: ValidationException ยกเลิกกระชั้นชิด</x:t>
  </x:si>
  <x:si>
    <x:t xml:space="preserve">A5: ValidationException สถานะยกเลิกไม่ได้ (State)</x:t>
  </x:si>
  <x:si>
    <x:t xml:space="preserve">A6: status = CANCELLED + บันทึกเหตุผลใน specialNotes</x:t>
  </x:si>
  <x:si>
    <x:t xml:space="preserve">A7: ส่งคืนเงินเต็มจำนวน (RefundService)</x:t>
  </x:si>
  <x:si>
    <x:t xml:space="preserve">R1 = null ทำงานก่อนค้นหา booking (โค้ดตรวจ currentUser ก่อน) • A5 มาจาก AbstractBookingState.throwInvalidTransition</x:t>
  </x:si>
  <x:si>
    <x:t xml:space="preserve">BookingServiceImpl.cancelBooking – ยกเลิกการจอง</x:t>
  </x:si>
  <x:si>
    <x:t xml:space="preserve">Functional testing - Decision Table (Extended Entry)</x:t>
  </x:si>
  <x:si>
    <x:t xml:space="preserve">BookingResponseDTO cancelBooking(Long id, CancelBookingRequestDTO dto, User currentUser)</x:t>
  </x:si>
  <x:si>
    <x:t xml:space="preserve">UC-10 (Main, A1, E1) • BR-BKG-04 • BR-SEC-01 • UC-5.1 • ดู Q3</x:t>
  </x:si>
  <x:si>
    <x:t xml:space="preserve">bookingId</x:t>
  </x:si>
  <x:si>
    <x:t xml:space="preserve">สถานะ / start</x:t>
  </x:si>
  <x:si>
    <x:t xml:space="preserve">dto.reason / Payment</x:t>
  </x:si>
  <x:si>
    <x:t xml:space="preserve">UT05-TC001</x:t>
  </x:si>
  <x:si>
    <x:t xml:space="preserve">10</x:t>
  </x:si>
  <x:si>
    <x:t xml:space="preserve">CONFIRMED / 03/11 15:00</x:t>
  </x:si>
  <x:si>
    <x:t xml:space="preserve">UT05-TC002</x:t>
  </x:si>
  <x:si>
    <x:t xml:space="preserve">UT05-TC003</x:t>
  </x:si>
  <x:si>
    <x:t xml:space="preserve">Customer#2</x:t>
  </x:si>
  <x:si>
    <x:t xml:space="preserve">BusinessException 403 • สถานะคง CONFIRMED • save ไม่ถูกเรียก</x:t>
  </x:si>
  <x:si>
    <x:t xml:space="preserve">BusinessException 403</x:t>
  </x:si>
  <x:si>
    <x:t xml:space="preserve">UT05-TC004</x:t>
  </x:si>
  <x:si>
    <x:t xml:space="preserve">CONFIRMED / 02/11 16:00 (1 ชม.)</x:t>
  </x:si>
  <x:si>
    <x:t xml:space="preserve">ValidationException "...at least 2 hours..." • สถานะคงเดิม</x:t>
  </x:si>
  <x:si>
    <x:t xml:space="preserve">UT05-TC005</x:t>
  </x:si>
  <x:si>
    <x:t xml:space="preserve">13</x:t>
  </x:si>
  <x:si>
    <x:t xml:space="preserve">PENDING / 03/11 15:00</x:t>
  </x:si>
  <x:si>
    <x:t xml:space="preserve">CANCELLED</x:t>
  </x:si>
  <x:si>
    <x:t xml:space="preserve">UT05-TC006</x:t>
  </x:si>
  <x:si>
    <x:t xml:space="preserve">20</x:t>
  </x:si>
  <x:si>
    <x:t xml:space="preserve">CONFIRMED / 03/11 15:00, notes เดิม "ปวดหลัง"</x:t>
  </x:si>
  <x:si>
    <x:t xml:space="preserve">dto = null / ไม่มี</x:t>
  </x:si>
  <x:si>
    <x:t xml:space="preserve">status = CANCELLED • specialNotes = "ปวดหลัง [Cancelled by CUSTOMER: Cancelled by user]"</x:t>
  </x:si>
  <x:si>
    <x:t xml:space="preserve">UT05-TC007</x:t>
  </x:si>
  <x:si>
    <x:t xml:space="preserve">COMPLETED</x:t>
  </x:si>
  <x:si>
    <x:t xml:space="preserve">UT05-TC008</x:t>
  </x:si>
  <x:si>
    <x:t xml:space="preserve">18</x:t>
  </x:si>
  <x:si>
    <x:t xml:space="preserve">CANCELLED / 03/11 15:00</x:t>
  </x:si>
  <x:si>
    <x:t xml:space="preserve">ValidationException "Cannot execute action 'cancel' from booking status CANCELLED"</x:t>
  </x:si>
  <x:si>
    <x:t xml:space="preserve">UT05-TC009</x:t>
  </x:si>
  <x:si>
    <x:t xml:space="preserve">status = CANCELLED (พนักงานไม่ติดกฎ 2 ชม.) • note "[Cancelled by RECEPTIONIST: ...]"</x:t>
  </x:si>
  <x:si>
    <x:t xml:space="preserve">R9</x:t>
  </x:si>
  <x:si>
    <x:t xml:space="preserve">UT05-TC010</x:t>
  </x:si>
  <x:si>
    <x:t xml:space="preserve">Owner#60</x:t>
  </x:si>
  <x:si>
    <x:t xml:space="preserve">CHECKED_IN / 02/11 15:20</x:t>
  </x:si>
  <x:si>
    <x:t xml:space="preserve">status = CANCELLED (ยกเลิกฉุกเฉินหน้าร้าน)</x:t>
  </x:si>
  <x:si>
    <x:t xml:space="preserve">R10</x:t>
  </x:si>
  <x:si>
    <x:t xml:space="preserve">UT05-TC011</x:t>
  </x:si>
  <x:si>
    <x:t xml:space="preserve">17</x:t>
  </x:si>
  <x:si>
    <x:t xml:space="preserve">COMPLETED / 02/11 10:00</x:t>
  </x:si>
  <x:si>
    <x:t xml:space="preserve">ValidationException • สถานะคง COMPLETED</x:t>
  </x:si>
  <x:si>
    <x:t xml:space="preserve">UT05-TC012</x:t>
  </x:si>
  <x:si>
    <x:t xml:space="preserve">IN_SERVICE / 02/11 14:30</x:t>
  </x:si>
  <x:si>
    <x:t xml:space="preserve">ValidationException • สถานะคง IN_SERVICE</x:t>
  </x:si>
  <x:si>
    <x:t xml:space="preserve">เวลาก่อนเริ่ม (นาที)</x:t>
  </x:si>
  <x:si>
    <x:t xml:space="preserve">นอกโดเมน</x:t>
  </x:si>
  <x:si>
    <x:t xml:space="preserve">-10</x:t>
  </x:si>
  <x:si>
    <x:t xml:space="preserve">BookingServiceImpl.cancelBooking – กฎลูกค้ายกเลิกล่วงหน้า ≥ 2 ชั่วโมง</x:t>
  </x:si>
  <x:si>
    <x:t xml:space="preserve">119</x:t>
  </x:si>
  <x:si>
    <x:t xml:space="preserve">121</x:t>
  </x:si>
  <x:si>
    <x:t xml:space="preserve">cancelBooking(...) </x:t>
  </x:si>
  <x:si>
    <x:t xml:space="preserve">1440</x:t>
  </x:si>
  <x:si>
    <x:t xml:space="preserve">BR-BKG-04 • UC-10 E1</x:t>
  </x:si>
  <x:si>
    <x:t xml:space="preserve">start ของ booking</x:t>
  </x:si>
  <x:si>
    <x:t xml:space="preserve">UT06-TC001</x:t>
  </x:si>
  <x:si>
    <x:t xml:space="preserve">2026-11-03 15:00</x:t>
  </x:si>
  <x:si>
    <x:t xml:space="preserve">status = CANCELLED</x:t>
  </x:si>
  <x:si>
    <x:t xml:space="preserve">UT06-TC002</x:t>
  </x:si>
  <x:si>
    <x:t xml:space="preserve">2026-11-02 16:59</x:t>
  </x:si>
  <x:si>
    <x:t xml:space="preserve">ValidationException ยกเลิกกระชั้นชิด • สถานะคง CONFIRMED</x:t>
  </x:si>
  <x:si>
    <x:t xml:space="preserve">UT06-TC003</x:t>
  </x:si>
  <x:si>
    <x:t xml:space="preserve">2026-11-02 17:00</x:t>
  </x:si>
  <x:si>
    <x:t xml:space="preserve">UT06-TC004</x:t>
  </x:si>
  <x:si>
    <x:t xml:space="preserve">2026-11-02 17:01</x:t>
  </x:si>
  <x:si>
    <x:t xml:space="preserve">UT06-TC005</x:t>
  </x:si>
  <x:si>
    <x:t xml:space="preserve">2026-11-02 14:50</x:t>
  </x:si>
  <x:si>
    <x:t xml:space="preserve">ValidationException • สถานะคง CONFIRMED</x:t>
  </x:si>
  <x:si>
    <x:t xml:space="preserve">C1: currentUser = null</x:t>
  </x:si>
  <x:si>
    <x:t xml:space="preserve">C3: role = CUSTOMER</x:t>
  </x:si>
  <x:si>
    <x:t xml:space="preserve">C4: role = THERAPIST</x:t>
  </x:si>
  <x:si>
    <x:t xml:space="preserve">C5: เป็นเจ้าของ / หมอนวดที่ได้รับมอบหมาย</x:t>
  </x:si>
  <x:si>
    <x:t xml:space="preserve">A4: คืน BookingResponseDTO</x:t>
  </x:si>
  <x:si>
    <x:t xml:space="preserve">C3 และ C4 เป็น Y พร้อมกันไม่ได้ จึงไม่มี rule นั้น</x:t>
  </x:si>
  <x:si>
    <x:t xml:space="preserve">BookingServiceImpl.getBookingById – สิทธิ์การดูรายการจอง</x:t>
  </x:si>
  <x:si>
    <x:t xml:space="preserve">BookingResponseDTO getBookingById(Long id, User currentUser)</x:t>
  </x:si>
  <x:si>
    <x:t xml:space="preserve">UC-09 • BR-SEC-01 • BR-SEC-02</x:t>
  </x:si>
  <x:si>
    <x:t xml:space="preserve">id</x:t>
  </x:si>
  <x:si>
    <x:t xml:space="preserve">UT07-TC001</x:t>
  </x:si>
  <x:si>
    <x:t xml:space="preserve">UT07-TC002</x:t>
  </x:si>
  <x:si>
    <x:t xml:space="preserve">UT07-TC003</x:t>
  </x:si>
  <x:si>
    <x:t xml:space="preserve">คืน DTO id = 10</x:t>
  </x:si>
  <x:si>
    <x:t xml:space="preserve">UT07-TC004</x:t>
  </x:si>
  <x:si>
    <x:t xml:space="preserve">UT07-TC005</x:t>
  </x:si>
  <x:si>
    <x:t xml:space="preserve">Therapist T5</x:t>
  </x:si>
  <x:si>
    <x:t xml:space="preserve">UT07-TC006</x:t>
  </x:si>
  <x:si>
    <x:t xml:space="preserve">Therapist T8</x:t>
  </x:si>
  <x:si>
    <x:t xml:space="preserve">UT07-TC007</x:t>
  </x:si>
  <x:si>
    <x:t xml:space="preserve">30 (therapist = null)</x:t>
  </x:si>
  <x:si>
    <x:t xml:space="preserve">BusinessException 403 (ไม่เกิด NullPointerException)</x:t>
  </x:si>
  <x:si>
    <x:t xml:space="preserve">UT07-TC008</x:t>
  </x:si>
  <x:si>
    <x:t xml:space="preserve">EC1 (สถานะปัจจุบัน) = { PENDING, CONFIRMED, CHECKED_IN, IN_SERVICE, COMPLETED, CANCELLED, NO_SHOW }</x:t>
  </x:si>
  <x:si>
    <x:t xml:space="preserve">EC2 (action) = { confirm, checkIn, startService, complete, cancel, markNoShow }</x:t>
  </x:si>
  <x:si>
    <x:t xml:space="preserve">ตารางด้านล่าง: แถว = action, คอลัมน์ Rule = สถานะปัจจุบัน, ช่อง = สถานะปลายทาง (✗ = ต้องโยน ValidationException)</x:t>
  </x:si>
  <x:si>
    <x:t xml:space="preserve">C1: สถานะปัจจุบัน</x:t>
  </x:si>
  <x:si>
    <x:t xml:space="preserve">PENDING</x:t>
  </x:si>
  <x:si>
    <x:t xml:space="preserve">CONFIRMED</x:t>
  </x:si>
  <x:si>
    <x:t xml:space="preserve">CHECKED_IN</x:t>
  </x:si>
  <x:si>
    <x:t xml:space="preserve">IN_SERVICE</x:t>
  </x:si>
  <x:si>
    <x:t xml:space="preserve">NO_SHOW</x:t>
  </x:si>
  <x:si>
    <x:t xml:space="preserve">C2 = confirm()</x:t>
  </x:si>
  <x:si>
    <x:t xml:space="preserve">→ CONFIRMED</x:t>
  </x:si>
  <x:si>
    <x:t xml:space="preserve">✗</x:t>
  </x:si>
  <x:si>
    <x:t xml:space="preserve">C2 = checkIn()</x:t>
  </x:si>
  <x:si>
    <x:t xml:space="preserve">→ CHECKED_IN</x:t>
  </x:si>
  <x:si>
    <x:t xml:space="preserve">C2 = startService()</x:t>
  </x:si>
  <x:si>
    <x:t xml:space="preserve">→ IN_SERVICE</x:t>
  </x:si>
  <x:si>
    <x:t xml:space="preserve">C2 = complete()</x:t>
  </x:si>
  <x:si>
    <x:t xml:space="preserve">→ COMPLETED *</x:t>
  </x:si>
  <x:si>
    <x:t xml:space="preserve">C2 = cancel()</x:t>
  </x:si>
  <x:si>
    <x:t xml:space="preserve">→ CANCELLED</x:t>
  </x:si>
  <x:si>
    <x:t xml:space="preserve">C2 = markNoShow()</x:t>
  </x:si>
  <x:si>
    <x:t xml:space="preserve">→ NO_SHOW</x:t>
  </x:si>
  <x:si>
    <x:t xml:space="preserve">A1: เปลี่ยนสถานะตามช่อง</x:t>
  </x:si>
  <x:si>
    <x:t xml:space="preserve">A2: ✗ → ValidationException + สถานะคงเดิม</x:t>
  </x:si>
  <x:si>
    <x:t xml:space="preserve">* complete() จาก IN_SERVICE ต้องมี Payment สถานะ COMPLETED</x:t>
  </x:si>
  <x:si>
    <x:t xml:space="preserve">Booking State Pattern (Booking.confirm/checkIn/startService/complete/cancel/markNoShow)</x:t>
  </x:si>
  <x:si>
    <x:t xml:space="preserve">Functional testing - Decision Table (Extended Entry) แบบ State Transition Table</x:t>
  </x:si>
  <x:si>
    <x:t xml:space="preserve">Booking.&lt;action&gt;() → BookingStateFactory.getState(status).&lt;action&gt;(booking) ใน pattern/state/*</x:t>
  </x:si>
  <x:si>
    <x:t xml:space="preserve">SRS 7.1 • UC §5, §5.1 • UC-14 • BR-QUE-03</x:t>
  </x:si>
  <x:si>
    <x:t xml:space="preserve">สถานะปัจจุบัน</x:t>
  </x:si>
  <x:si>
    <x:t xml:space="preserve">PENDING/confirm()</x:t>
  </x:si>
  <x:si>
    <x:t xml:space="preserve">UT08-TC001</x:t>
  </x:si>
  <x:si>
    <x:t xml:space="preserve">confirm()</x:t>
  </x:si>
  <x:si>
    <x:t xml:space="preserve">status = CONFIRMED</x:t>
  </x:si>
  <x:si>
    <x:t xml:space="preserve">PENDING/checkIn()</x:t>
  </x:si>
  <x:si>
    <x:t xml:space="preserve">UT08-TC002</x:t>
  </x:si>
  <x:si>
    <x:t xml:space="preserve">checkIn()</x:t>
  </x:si>
  <x:si>
    <x:t xml:space="preserve">ValidationException "Cannot execute action 'checkIn' from booking status PENDING" • สถานะคงเดิม</x:t>
  </x:si>
  <x:si>
    <x:t xml:space="preserve">PENDING/startService()</x:t>
  </x:si>
  <x:si>
    <x:t xml:space="preserve">UT08-TC003</x:t>
  </x:si>
  <x:si>
    <x:t xml:space="preserve">startService()</x:t>
  </x:si>
  <x:si>
    <x:t xml:space="preserve">ValidationException "Cannot execute action 'startService' from booking status PENDING" • สถานะคงเดิม</x:t>
  </x:si>
  <x:si>
    <x:t xml:space="preserve">PENDING/complete()</x:t>
  </x:si>
  <x:si>
    <x:t xml:space="preserve">UT08-TC004</x:t>
  </x:si>
  <x:si>
    <x:t xml:space="preserve">complete()</x:t>
  </x:si>
  <x:si>
    <x:t xml:space="preserve">ValidationException "Cannot execute action 'complete' from booking status PENDING" • สถานะคงเดิม</x:t>
  </x:si>
  <x:si>
    <x:t xml:space="preserve">PENDING/cancel()</x:t>
  </x:si>
  <x:si>
    <x:t xml:space="preserve">UT08-TC005</x:t>
  </x:si>
  <x:si>
    <x:t xml:space="preserve">cancel()</x:t>
  </x:si>
  <x:si>
    <x:t xml:space="preserve">PENDING/markNoShow()</x:t>
  </x:si>
  <x:si>
    <x:t xml:space="preserve">UT08-TC006</x:t>
  </x:si>
  <x:si>
    <x:t xml:space="preserve">markNoShow()</x:t>
  </x:si>
  <x:si>
    <x:t xml:space="preserve">ValidationException "Cannot execute action 'markNoShow' from booking status PENDING" • สถานะคงเดิม</x:t>
  </x:si>
  <x:si>
    <x:t xml:space="preserve">CONFIRMED/confirm()</x:t>
  </x:si>
  <x:si>
    <x:t xml:space="preserve">UT08-TC007</x:t>
  </x:si>
  <x:si>
    <x:t xml:space="preserve">ValidationException "Cannot execute action 'confirm' from booking status CONFIRMED" • สถานะคงเดิม</x:t>
  </x:si>
  <x:si>
    <x:t xml:space="preserve">CONFIRMED/checkIn()</x:t>
  </x:si>
  <x:si>
    <x:t xml:space="preserve">UT08-TC008</x:t>
  </x:si>
  <x:si>
    <x:t xml:space="preserve">status = CHECKED_IN</x:t>
  </x:si>
  <x:si>
    <x:t xml:space="preserve">CONFIRMED/startService()</x:t>
  </x:si>
  <x:si>
    <x:t xml:space="preserve">UT08-TC009</x:t>
  </x:si>
  <x:si>
    <x:t xml:space="preserve">ValidationException "Cannot execute action 'startService' from booking status CONFIRMED" • สถานะคงเดิม</x:t>
  </x:si>
  <x:si>
    <x:t xml:space="preserve">CONFIRMED/complete()</x:t>
  </x:si>
  <x:si>
    <x:t xml:space="preserve">UT08-TC010</x:t>
  </x:si>
  <x:si>
    <x:t xml:space="preserve">ValidationException "Cannot execute action 'complete' from booking status CONFIRMED" • สถานะคงเดิม</x:t>
  </x:si>
  <x:si>
    <x:t xml:space="preserve">CONFIRMED/cancel()</x:t>
  </x:si>
  <x:si>
    <x:t xml:space="preserve">UT08-TC011</x:t>
  </x:si>
  <x:si>
    <x:t xml:space="preserve">CONFIRMED/markNoShow()</x:t>
  </x:si>
  <x:si>
    <x:t xml:space="preserve">UT08-TC012</x:t>
  </x:si>
  <x:si>
    <x:t xml:space="preserve">status = NO_SHOW</x:t>
  </x:si>
  <x:si>
    <x:t xml:space="preserve">CHECKED_IN/confirm()</x:t>
  </x:si>
  <x:si>
    <x:t xml:space="preserve">UT08-TC013</x:t>
  </x:si>
  <x:si>
    <x:t xml:space="preserve">ValidationException "Cannot execute action 'confirm' from booking status CHECKED_IN" • สถานะคงเดิม</x:t>
  </x:si>
  <x:si>
    <x:t xml:space="preserve">CHECKED_IN/checkIn()</x:t>
  </x:si>
  <x:si>
    <x:t xml:space="preserve">UT08-TC014</x:t>
  </x:si>
  <x:si>
    <x:t xml:space="preserve">ValidationException "Cannot execute action 'checkIn' from booking status CHECKED_IN" • สถานะคงเดิม</x:t>
  </x:si>
  <x:si>
    <x:t xml:space="preserve">CHECKED_IN/startService()</x:t>
  </x:si>
  <x:si>
    <x:t xml:space="preserve">UT08-TC015</x:t>
  </x:si>
  <x:si>
    <x:t xml:space="preserve">status = IN_SERVICE และตั้ง actualStartTime</x:t>
  </x:si>
  <x:si>
    <x:t xml:space="preserve">CHECKED_IN/complete()</x:t>
  </x:si>
  <x:si>
    <x:t xml:space="preserve">UT08-TC016</x:t>
  </x:si>
  <x:si>
    <x:t xml:space="preserve">ValidationException "Cannot execute action 'complete' from booking status CHECKED_IN" • สถานะคงเดิม</x:t>
  </x:si>
  <x:si>
    <x:t xml:space="preserve">CHECKED_IN/cancel()</x:t>
  </x:si>
  <x:si>
    <x:t xml:space="preserve">UT08-TC017</x:t>
  </x:si>
  <x:si>
    <x:t xml:space="preserve">CHECKED_IN/markNoShow()</x:t>
  </x:si>
  <x:si>
    <x:t xml:space="preserve">UT08-TC018</x:t>
  </x:si>
  <x:si>
    <x:t xml:space="preserve">ValidationException "Cannot execute action 'markNoShow' from booking status CHECKED_IN" • สถานะคงเดิม</x:t>
  </x:si>
  <x:si>
    <x:t xml:space="preserve">IN_SERVICE/confirm()</x:t>
  </x:si>
  <x:si>
    <x:t xml:space="preserve">UT08-TC019</x:t>
  </x:si>
  <x:si>
    <x:t xml:space="preserve">ValidationException "Cannot execute action 'confirm' from booking status IN_SERVICE" • สถานะคงเดิม</x:t>
  </x:si>
  <x:si>
    <x:t xml:space="preserve">IN_SERVICE/checkIn()</x:t>
  </x:si>
  <x:si>
    <x:t xml:space="preserve">UT08-TC020</x:t>
  </x:si>
  <x:si>
    <x:t xml:space="preserve">ValidationException "Cannot execute action 'checkIn' from booking status IN_SERVICE" • สถานะคงเดิม</x:t>
  </x:si>
  <x:si>
    <x:t xml:space="preserve">IN_SERVICE/startService()</x:t>
  </x:si>
  <x:si>
    <x:t xml:space="preserve">UT08-TC021</x:t>
  </x:si>
  <x:si>
    <x:t xml:space="preserve">ValidationException "Cannot execute action 'startService' from booking status IN_SERVICE" • สถานะคงเดิม</x:t>
  </x:si>
  <x:si>
    <x:t xml:space="preserve">IN_SERVICE/complete()</x:t>
  </x:si>
  <x:si>
    <x:t xml:space="preserve">UT08-TC022</x:t>
  </x:si>
  <x:si>
    <x:t xml:space="preserve">status = COMPLETED และตั้ง actualEndTime</x:t>
  </x:si>
  <x:si>
    <x:t xml:space="preserve">UT08-TC023</x:t>
  </x:si>
  <x:si>
    <x:t xml:space="preserve">PENDING หรือไม่มี</x:t>
  </x:si>
  <x:si>
    <x:t xml:space="preserve">ValidationException ต้องชำระเงินก่อน • สถานะคง IN_SERVICE</x:t>
  </x:si>
  <x:si>
    <x:t xml:space="preserve">IN_SERVICE/cancel()</x:t>
  </x:si>
  <x:si>
    <x:t xml:space="preserve">UT08-TC024</x:t>
  </x:si>
  <x:si>
    <x:t xml:space="preserve">ValidationException "Cannot execute action 'cancel' from booking status IN_SERVICE" • สถานะคงเดิม</x:t>
  </x:si>
  <x:si>
    <x:t xml:space="preserve">IN_SERVICE/markNoShow()</x:t>
  </x:si>
  <x:si>
    <x:t xml:space="preserve">UT08-TC025</x:t>
  </x:si>
  <x:si>
    <x:t xml:space="preserve">ValidationException "Cannot execute action 'markNoShow' from booking status IN_SERVICE" • สถานะคงเดิม</x:t>
  </x:si>
  <x:si>
    <x:t xml:space="preserve">COMPLETED/confirm()</x:t>
  </x:si>
  <x:si>
    <x:t xml:space="preserve">UT08-TC026</x:t>
  </x:si>
  <x:si>
    <x:t xml:space="preserve">ValidationException "Cannot execute action 'confirm' from booking status COMPLETED" • สถานะคงเดิม</x:t>
  </x:si>
  <x:si>
    <x:t xml:space="preserve">COMPLETED/checkIn()</x:t>
  </x:si>
  <x:si>
    <x:t xml:space="preserve">UT08-TC027</x:t>
  </x:si>
  <x:si>
    <x:t xml:space="preserve">ValidationException "Cannot execute action 'checkIn' from booking status COMPLETED" • สถานะคงเดิม</x:t>
  </x:si>
  <x:si>
    <x:t xml:space="preserve">COMPLETED/startService()</x:t>
  </x:si>
  <x:si>
    <x:t xml:space="preserve">UT08-TC028</x:t>
  </x:si>
  <x:si>
    <x:t xml:space="preserve">ValidationException "Cannot execute action 'startService' from booking status COMPLETED" • สถานะคงเดิม</x:t>
  </x:si>
  <x:si>
    <x:t xml:space="preserve">COMPLETED/complete()</x:t>
  </x:si>
  <x:si>
    <x:t xml:space="preserve">UT08-TC029</x:t>
  </x:si>
  <x:si>
    <x:t xml:space="preserve">ValidationException "Cannot execute action 'complete' from booking status COMPLETED" • สถานะคงเดิม</x:t>
  </x:si>
  <x:si>
    <x:t xml:space="preserve">COMPLETED/cancel()</x:t>
  </x:si>
  <x:si>
    <x:t xml:space="preserve">UT08-TC030</x:t>
  </x:si>
  <x:si>
    <x:t xml:space="preserve">ValidationException "Cannot execute action 'cancel' from booking status COMPLETED" • สถานะคงเดิม</x:t>
  </x:si>
  <x:si>
    <x:t xml:space="preserve">COMPLETED/markNoShow()</x:t>
  </x:si>
  <x:si>
    <x:t xml:space="preserve">UT08-TC031</x:t>
  </x:si>
  <x:si>
    <x:t xml:space="preserve">ValidationException "Cannot execute action 'markNoShow' from booking status COMPLETED" • สถานะคงเดิม</x:t>
  </x:si>
  <x:si>
    <x:t xml:space="preserve">CANCELLED/confirm()</x:t>
  </x:si>
  <x:si>
    <x:t xml:space="preserve">UT08-TC032</x:t>
  </x:si>
  <x:si>
    <x:t xml:space="preserve">ValidationException "Cannot execute action 'confirm' from booking status CANCELLED" • สถานะคงเดิม</x:t>
  </x:si>
  <x:si>
    <x:t xml:space="preserve">CANCELLED/checkIn()</x:t>
  </x:si>
  <x:si>
    <x:t xml:space="preserve">UT08-TC033</x:t>
  </x:si>
  <x:si>
    <x:t xml:space="preserve">ValidationException "Cannot execute action 'checkIn' from booking status CANCELLED" • สถานะคงเดิม</x:t>
  </x:si>
  <x:si>
    <x:t xml:space="preserve">CANCELLED/startService()</x:t>
  </x:si>
  <x:si>
    <x:t xml:space="preserve">UT08-TC034</x:t>
  </x:si>
  <x:si>
    <x:t xml:space="preserve">ValidationException "Cannot execute action 'startService' from booking status CANCELLED" • สถานะคงเดิม</x:t>
  </x:si>
  <x:si>
    <x:t xml:space="preserve">CANCELLED/complete()</x:t>
  </x:si>
  <x:si>
    <x:t xml:space="preserve">UT08-TC035</x:t>
  </x:si>
  <x:si>
    <x:t xml:space="preserve">ValidationException "Cannot execute action 'complete' from booking status CANCELLED" • สถานะคงเดิม</x:t>
  </x:si>
  <x:si>
    <x:t xml:space="preserve">CANCELLED/cancel()</x:t>
  </x:si>
  <x:si>
    <x:t xml:space="preserve">UT08-TC036</x:t>
  </x:si>
  <x:si>
    <x:t xml:space="preserve">ValidationException "Cannot execute action 'cancel' from booking status CANCELLED" • สถานะคงเดิม</x:t>
  </x:si>
  <x:si>
    <x:t xml:space="preserve">CANCELLED/markNoShow()</x:t>
  </x:si>
  <x:si>
    <x:t xml:space="preserve">UT08-TC037</x:t>
  </x:si>
  <x:si>
    <x:t xml:space="preserve">ValidationException "Cannot execute action 'markNoShow' from booking status CANCELLED" • สถานะคงเดิม</x:t>
  </x:si>
  <x:si>
    <x:t xml:space="preserve">NO_SHOW/confirm()</x:t>
  </x:si>
  <x:si>
    <x:t xml:space="preserve">UT08-TC038</x:t>
  </x:si>
  <x:si>
    <x:t xml:space="preserve">ValidationException "Cannot execute action 'confirm' from booking status NO_SHOW" • สถานะคงเดิม</x:t>
  </x:si>
  <x:si>
    <x:t xml:space="preserve">NO_SHOW/checkIn()</x:t>
  </x:si>
  <x:si>
    <x:t xml:space="preserve">UT08-TC039</x:t>
  </x:si>
  <x:si>
    <x:t xml:space="preserve">ValidationException "Cannot execute action 'checkIn' from booking status NO_SHOW" • สถานะคงเดิม</x:t>
  </x:si>
  <x:si>
    <x:t xml:space="preserve">NO_SHOW/startService()</x:t>
  </x:si>
  <x:si>
    <x:t xml:space="preserve">UT08-TC040</x:t>
  </x:si>
  <x:si>
    <x:t xml:space="preserve">ValidationException "Cannot execute action 'startService' from booking status NO_SHOW" • สถานะคงเดิม</x:t>
  </x:si>
  <x:si>
    <x:t xml:space="preserve">NO_SHOW/complete()</x:t>
  </x:si>
  <x:si>
    <x:t xml:space="preserve">UT08-TC041</x:t>
  </x:si>
  <x:si>
    <x:t xml:space="preserve">ValidationException "Cannot execute action 'complete' from booking status NO_SHOW" • สถานะคงเดิม</x:t>
  </x:si>
  <x:si>
    <x:t xml:space="preserve">NO_SHOW/cancel()</x:t>
  </x:si>
  <x:si>
    <x:t xml:space="preserve">UT08-TC042</x:t>
  </x:si>
  <x:si>
    <x:t xml:space="preserve">ValidationException "Cannot execute action 'cancel' from booking status NO_SHOW" • สถานะคงเดิม</x:t>
  </x:si>
  <x:si>
    <x:t xml:space="preserve">NO_SHOW/markNoShow()</x:t>
  </x:si>
  <x:si>
    <x:t xml:space="preserve">UT08-TC043</x:t>
  </x:si>
  <x:si>
    <x:t xml:space="preserve">ValidationException "Cannot execute action 'markNoShow' from booking status NO_SHOW" • สถานะคงเดิม</x:t>
  </x:si>
  <x:si>
    <x:t xml:space="preserve">updateBookingStatus</x:t>
  </x:si>
  <x:si>
    <x:t xml:space="preserve">UT08-TC044</x:t>
  </x:si>
  <x:si>
    <x:t xml:space="preserve">updateBookingStatus(PENDING)</x:t>
  </x:si>
  <x:si>
    <x:t xml:space="preserve">ValidationException "Cannot transition booking back to PENDING"</x:t>
  </x:si>
  <x:si>
    <x:t xml:space="preserve">UT08-TC045</x:t>
  </x:si>
  <x:si>
    <x:t xml:space="preserve">CONFIRMED เริ่มอีก 1 วัน</x:t>
  </x:si>
  <x:si>
    <x:t xml:space="preserve">updateBookingStatus(NO_SHOW)</x:t>
  </x:si>
  <x:si>
    <x:t xml:space="preserve">status = PENDING</x:t>
  </x:si>
  <x:si>
    <x:t xml:space="preserve">ไม่มี: ทุกค่าของ enum ใช้ได้</x:t>
  </x:si>
  <x:si>
    <x:t xml:space="preserve">status = IN_SERVICE</x:t>
  </x:si>
  <x:si>
    <x:t xml:space="preserve">status = COMPLETED</x:t>
  </x:si>
  <x:si>
    <x:t xml:space="preserve">V7</x:t>
  </x:si>
  <x:si>
    <x:t xml:space="preserve">V8</x:t>
  </x:si>
  <x:si>
    <x:t xml:space="preserve">status = null (ค่าเริ่มต้นของ entity ใหม่)</x:t>
  </x:si>
  <x:si>
    <x:t xml:space="preserve">BookingStateFactory.getState(BookingStatus)</x:t>
  </x:si>
  <x:si>
    <x:t xml:space="preserve">Functional testing - Strong Normal Equivalence Class Testing (ทุกค่าใน enum)</x:t>
  </x:si>
  <x:si>
    <x:t xml:space="preserve">static BookingState getState(BookingStatus status)</x:t>
  </x:si>
  <x:si>
    <x:t xml:space="preserve">design-patterns.md (State) • SRS 7.1</x:t>
  </x:si>
  <x:si>
    <x:t xml:space="preserve">status</x:t>
  </x:si>
  <x:si>
    <x:t xml:space="preserve">UT09-TC001</x:t>
  </x:si>
  <x:si>
    <x:t xml:space="preserve">(V1) คืน PendingState และ getStatus() = PENDING</x:t>
  </x:si>
  <x:si>
    <x:t xml:space="preserve">UT09-TC002</x:t>
  </x:si>
  <x:si>
    <x:t xml:space="preserve">(V2) คืน ConfirmedState และ getStatus() = CONFIRMED</x:t>
  </x:si>
  <x:si>
    <x:t xml:space="preserve">UT09-TC003</x:t>
  </x:si>
  <x:si>
    <x:t xml:space="preserve">(V3) คืน CheckedInState และ getStatus() = CHECKED_IN</x:t>
  </x:si>
  <x:si>
    <x:t xml:space="preserve">UT09-TC004</x:t>
  </x:si>
  <x:si>
    <x:t xml:space="preserve">(V4) คืน InServiceState และ getStatus() = IN_SERVICE</x:t>
  </x:si>
  <x:si>
    <x:t xml:space="preserve">UT09-TC005</x:t>
  </x:si>
  <x:si>
    <x:t xml:space="preserve">(V5) คืน CompletedState และ getStatus() = COMPLETED</x:t>
  </x:si>
  <x:si>
    <x:t xml:space="preserve">UT09-TC006</x:t>
  </x:si>
  <x:si>
    <x:t xml:space="preserve">(V6) คืน CancelledState และ getStatus() = CANCELLED</x:t>
  </x:si>
  <x:si>
    <x:t xml:space="preserve">UT09-TC007</x:t>
  </x:si>
  <x:si>
    <x:t xml:space="preserve">(V7) คืน NoShowState และ getStatus() = NO_SHOW</x:t>
  </x:si>
  <x:si>
    <x:t xml:space="preserve">UT09-TC008</x:t>
  </x:si>
  <x:si>
    <x:t xml:space="preserve">(V8) คืน PendingState</x:t>
  </x:si>
  <x:si>
    <x:t xml:space="preserve">คืน PendingState</x:t>
  </x:si>
  <x:si>
    <x:t xml:space="preserve">durationMinutes</x:t>
  </x:si>
  <x:si>
    <x:t xml:space="preserve">AvailabilityServiceImpl.checkAvailability – จำนวนรอบเวลาตามระยะเวลาบริการ</x:t>
  </x:si>
  <x:si>
    <x:t xml:space="preserve">2</x:t>
  </x:si>
  <x:si>
    <x:t xml:space="preserve">90</x:t>
  </x:si>
  <x:si>
    <x:t xml:space="preserve">AvailabilityResponseDTO checkAvailability(LocalDate date, Long serviceId, Integer durationMinutes)</x:t>
  </x:si>
  <x:si>
    <x:t xml:space="preserve">719</x:t>
  </x:si>
  <x:si>
    <x:t xml:space="preserve">UC-08 • BR-BKG-02 • SRS 7.2</x:t>
  </x:si>
  <x:si>
    <x:t xml:space="preserve">721</x:t>
  </x:si>
  <x:si>
    <x:t xml:space="preserve">TC008 เป็นเคส robustness เพิ่มนอกตาราง BVA (ค่าที่ทำให้เวลาวนข้ามวัน)</x:t>
  </x:si>
  <x:si>
    <x:t xml:space="preserve">UT10-TC001</x:t>
  </x:si>
  <x:si>
    <x:t xml:space="preserve">ใช้ระยะเวลาจาก option แรก = 60 • durationMinutes ใน response = 60 • 12 รอบ (10:00–21:00)</x:t>
  </x:si>
  <x:si>
    <x:t xml:space="preserve">UT10-TC002</x:t>
  </x:si>
  <x:si>
    <x:t xml:space="preserve">durationMinutes = 1 • 12 รอบ (10:00–21:00) รอบสุดท้ายจบ 21:01</x:t>
  </x:si>
  <x:si>
    <x:t xml:space="preserve">UT10-TC003</x:t>
  </x:si>
  <x:si>
    <x:t xml:space="preserve">12 รอบ</x:t>
  </x:si>
  <x:si>
    <x:t xml:space="preserve">UT10-TC004</x:t>
  </x:si>
  <x:si>
    <x:t xml:space="preserve">11 รอบ (10:00–20:00) • ไม่มีรอบ 21:00 เพราะจะจบ 22:30</x:t>
  </x:si>
  <x:si>
    <x:t xml:space="preserve">11 รอบ</x:t>
  </x:si>
  <x:si>
    <x:t xml:space="preserve">UT10-TC005</x:t>
  </x:si>
  <x:si>
    <x:t xml:space="preserve">1 รอบ (10:00–21:59)</x:t>
  </x:si>
  <x:si>
    <x:t xml:space="preserve">1 รอบ</x:t>
  </x:si>
  <x:si>
    <x:t xml:space="preserve">UT10-TC006</x:t>
  </x:si>
  <x:si>
    <x:t xml:space="preserve">720</x:t>
  </x:si>
  <x:si>
    <x:t xml:space="preserve">1 รอบ (10:00–22:00)</x:t>
  </x:si>
  <x:si>
    <x:t xml:space="preserve">UT10-TC007</x:t>
  </x:si>
  <x:si>
    <x:t xml:space="preserve">0 รอบ (availableSlots ว่าง) ไม่เกิด Exception</x:t>
  </x:si>
  <x:si>
    <x:t xml:space="preserve">0 รอบ</x:t>
  </x:si>
  <x:si>
    <x:t xml:space="preserve">UT10-TC008</x:t>
  </x:si>
  <x:si>
    <x:t xml:space="preserve">900 (นอกโดเมน: เกินเที่ยงคืน)</x:t>
  </x:si>
  <x:si>
    <x:t xml:space="preserve">22 รอบ</x:t>
  </x:si>
  <x:si>
    <x:t xml:space="preserve">date ระบุมา</x:t>
  </x:si>
  <x:si>
    <x:t xml:space="preserve">date = null → ใช้วันนี้</x:t>
  </x:si>
  <x:si>
    <x:t xml:space="preserve">service inactive</x:t>
  </x:si>
  <x:si>
    <x:t xml:space="preserve">service มีอยู่และ active</x:t>
  </x:si>
  <x:si>
    <x:t xml:space="preserve">วันนั้นร้านปิด (isClosed = true)</x:t>
  </x:si>
  <x:si>
    <x:t xml:space="preserve">มี BusinessHours ของวันนั้นและเปิด</x:t>
  </x:si>
  <x:si>
    <x:t xml:space="preserve">ไม่มี BusinessHours ของวันนั้น → ใช้ค่าเริ่มต้น 10:00–21:00</x:t>
  </x:si>
  <x:si>
    <x:t xml:space="preserve">หมอนวดหยุดถูกตัดออกจาก availableTherapists</x:t>
  </x:si>
  <x:si>
    <x:t xml:space="preserve">รอบที่ไม่มีห้องว่าง → available = false</x:t>
  </x:si>
  <x:si>
    <x:t xml:space="preserve">booking เดิมสถานะ COMPLETED/CANCELLED/NO_SHOW ไม่ล็อกทรัพยากร</x:t>
  </x:si>
  <x:si>
    <x:t xml:space="preserve">AvailabilityServiceImpl.checkAvailability – สภาพร้านและทรัพยากร</x:t>
  </x:si>
  <x:si>
    <x:t xml:space="preserve">checkAvailability(date, serviceId, durationMinutes)</x:t>
  </x:si>
  <x:si>
    <x:t xml:space="preserve">UC-08, UC-08a, UC-08b • SRS 7.2</x:t>
  </x:si>
  <x:si>
    <x:t xml:space="preserve">date</x:t>
  </x:si>
  <x:si>
    <x:t xml:space="preserve">UT11-TC001</x:t>
  </x:si>
  <x:si>
    <x:t xml:space="preserve">2026-11-09</x:t>
  </x:si>
  <x:si>
    <x:t xml:space="preserve">ร้านเปิด 10–22, T5 + R101 ว่าง</x:t>
  </x:si>
  <x:si>
    <x:t xml:space="preserve">(V1,V3,V4) 12 รอบ ทุกรอบ available = true, availableTherapists มี T5, availableRooms มี R101</x:t>
  </x:si>
  <x:si>
    <x:t xml:space="preserve">12 รอบ ทุกรอบ available = true, availableTherapists มี T5, availableRooms มี R101</x:t>
  </x:si>
  <x:si>
    <x:t xml:space="preserve">UT11-TC002</x:t>
  </x:si>
  <x:si>
    <x:t xml:space="preserve">ร้านเปิด</x:t>
  </x:si>
  <x:si>
    <x:t xml:space="preserve">(V2) date ใน response = วันนี้</x:t>
  </x:si>
  <x:si>
    <x:t xml:space="preserve">date ใน response = วันนี้</x:t>
  </x:si>
  <x:si>
    <x:t xml:space="preserve">UT11-TC003</x:t>
  </x:si>
  <x:si>
    <x:t xml:space="preserve">ไม่มีแถว BusinessHours วันจันทร์</x:t>
  </x:si>
  <x:si>
    <x:t xml:space="preserve">(V5) 11 รอบ (10:00–20:00)</x:t>
  </x:si>
  <x:si>
    <x:t xml:space="preserve">UT11-TC004</x:t>
  </x:si>
  <x:si>
    <x:t xml:space="preserve">T5 isDayOff, T8 ว่าง</x:t>
  </x:si>
  <x:si>
    <x:t xml:space="preserve">(V6) availableTherapists ทุกรอบมีแค่ T8</x:t>
  </x:si>
  <x:si>
    <x:t xml:space="preserve">availableTherapists ทุกรอบมีแค่ T8</x:t>
  </x:si>
  <x:si>
    <x:t xml:space="preserve">UT11-TC005</x:t>
  </x:si>
  <x:si>
    <x:t xml:space="preserve">R101 มีคิว 13:00–14:00 (ห้องเดียว)</x:t>
  </x:si>
  <x:si>
    <x:t xml:space="preserve">(V7) รอบ 12:00, 13:00, 14:00 available = false (12:00 จบ 13:00 + buffer 15 ชนคิว, 14:00 ติด buffer ถึง 14:15) • รอบอื่น true</x:t>
  </x:si>
  <x:si>
    <x:t xml:space="preserve">รอบ 12:00, 13:00, 14:00 available = false (12:00 จบ 13:00 + buffer 15 ชนคิว, 14:00 ติด buffer ถึง 14:15) • รอบอื่น true</x:t>
  </x:si>
  <x:si>
    <x:t xml:space="preserve">UT11-TC006</x:t>
  </x:si>
  <x:si>
    <x:t xml:space="preserve">R101 (ห้องเดียว) มีคิว 13:00–14:00 สถานะ COMPLETED</x:t>
  </x:si>
  <x:si>
    <x:t xml:space="preserve">(V8) รอบ 13:00 available = true เพราะ COMPLETED ไม่ล็อกทรัพยากร</x:t>
  </x:si>
  <x:si>
    <x:t xml:space="preserve">UT11-TC007</x:t>
  </x:si>
  <x:si>
    <x:t xml:space="preserve">(I1) NotFoundException</x:t>
  </x:si>
  <x:si>
    <x:t xml:space="preserve">UT11-TC008</x:t>
  </x:si>
  <x:si>
    <x:t xml:space="preserve">S3 inactive</x:t>
  </x:si>
  <x:si>
    <x:t xml:space="preserve">(I2) ValidationException "Selected service is currently inactive"</x:t>
  </x:si>
  <x:si>
    <x:t xml:space="preserve">UT11-TC009</x:t>
  </x:si>
  <x:si>
    <x:t xml:space="preserve">BusinessHours MONDAY isClosed = true</x:t>
  </x:si>
  <x:si>
    <x:t xml:space="preserve">(I3) availableSlots ว่าง ไม่เกิด Exception</x:t>
  </x:si>
  <x:si>
    <x:t xml:space="preserve">availableSlots ว่าง</x:t>
  </x:si>
  <x:si>
    <x:t xml:space="preserve">Booking มีครบทุก relation</x:t>
  </x:si>
  <x:si>
    <x:t xml:space="preserve">ไม่มี: ทุกกรณีต้องไม่โยน Exception</x:t>
  </x:si>
  <x:si>
    <x:t xml:space="preserve">therapist = null</x:t>
  </x:si>
  <x:si>
    <x:t xml:space="preserve">service, room, durationOption, customer = null</x:t>
  </x:si>
  <x:si>
    <x:t xml:space="preserve">status = null</x:t>
  </x:si>
  <x:si>
    <x:t xml:space="preserve">room มีแต่ roomType = null</x:t>
  </x:si>
  <x:si>
    <x:t xml:space="preserve">booking = null</x:t>
  </x:si>
  <x:si>
    <x:t xml:space="preserve">List = null หรือว่าง</x:t>
  </x:si>
  <x:si>
    <x:t xml:space="preserve">BookingMapper (toMyBookingResponse / toBookingResponse / list)</x:t>
  </x:si>
  <x:si>
    <x:t xml:space="preserve">Functional testing - Weak Normal Equivalence Class Testing</x:t>
  </x:si>
  <x:si>
    <x:t xml:space="preserve">toMyBookingResponse, toMyBookingResponses, toBookingResponse, toBookingResponses</x:t>
  </x:si>
  <x:si>
    <x:t xml:space="preserve">UC-09 • DTO Pattern + Mapper</x:t>
  </x:si>
  <x:si>
    <x:t xml:space="preserve">เมธอด</x:t>
  </x:si>
  <x:si>
    <x:t xml:space="preserve">Booking ที่ส่งเข้า</x:t>
  </x:si>
  <x:si>
    <x:t xml:space="preserve">UT12-TC001</x:t>
  </x:si>
  <x:si>
    <x:t xml:space="preserve">toBookingResponse</x:t>
  </x:si>
  <x:si>
    <x:t xml:space="preserve">ครบทุก relation</x:t>
  </x:si>
  <x:si>
    <x:t xml:space="preserve">(V1) map ครบทุก field: customerId/Name/Phone, serviceId/Name, therapistId/Name, roomId/Number/Type, status, channel, notes</x:t>
  </x:si>
  <x:si>
    <x:t xml:space="preserve">map ครบทุก field</x:t>
  </x:si>
  <x:si>
    <x:t xml:space="preserve">UT12-TC002</x:t>
  </x:si>
  <x:si>
    <x:t xml:space="preserve">toMyBookingResponse</x:t>
  </x:si>
  <x:si>
    <x:t xml:space="preserve">(V1) serviceName, therapistName, roomNumber, durationMinutes = 60, status = "CONFIRMED"</x:t>
  </x:si>
  <x:si>
    <x:t xml:space="preserve">serviceName, therapistName, roomNumber, durationMinutes = 60, status = "CONFIRMED"</x:t>
  </x:si>
  <x:si>
    <x:t xml:space="preserve">UT12-TC003</x:t>
  </x:si>
  <x:si>
    <x:t xml:space="preserve">(V2) therapistId และ therapistName = null</x:t>
  </x:si>
  <x:si>
    <x:t xml:space="preserve">therapistId และ therapistName = null</x:t>
  </x:si>
  <x:si>
    <x:t xml:space="preserve">UT12-TC004</x:t>
  </x:si>
  <x:si>
    <x:t xml:space="preserve">service/room/option/customer = null</x:t>
  </x:si>
  <x:si>
    <x:t xml:space="preserve">(V3) field ที่เกี่ยวข้องเป็น null</x:t>
  </x:si>
  <x:si>
    <x:t xml:space="preserve">field ที่เกี่ยวข้องเป็น null</x:t>
  </x:si>
  <x:si>
    <x:t xml:space="preserve">UT12-TC005</x:t>
  </x:si>
  <x:si>
    <x:t xml:space="preserve">(V4) status = null</x:t>
  </x:si>
  <x:si>
    <x:t xml:space="preserve">UT12-TC006</x:t>
  </x:si>
  <x:si>
    <x:t xml:space="preserve">room.roomType = null</x:t>
  </x:si>
  <x:si>
    <x:t xml:space="preserve">(V5) roomNumber มีค่า, roomType = null</x:t>
  </x:si>
  <x:si>
    <x:t xml:space="preserve">roomNumber มีค่า, roomType = null</x:t>
  </x:si>
  <x:si>
    <x:t xml:space="preserve">UT12-TC007</x:t>
  </x:si>
  <x:si>
    <x:t xml:space="preserve">toBookingResponse / toMyBookingResponse</x:t>
  </x:si>
  <x:si>
    <x:t xml:space="preserve">(V6) คืน null</x:t>
  </x:si>
  <x:si>
    <x:t xml:space="preserve">UT12-TC008</x:t>
  </x:si>
  <x:si>
    <x:t xml:space="preserve">toBookingResponses / toMyBookingResponses</x:t>
  </x:si>
  <x:si>
    <x:t xml:space="preserve">null และ []</x:t>
  </x:si>
  <x:si>
    <x:t xml:space="preserve">(V7) คืน List ว่าง</x:t>
  </x:si>
  <x:si>
    <x:t xml:space="preserve"> คืน List ว่าง</x:t>
  </x:si>
  <x:si>
    <x:t xml:space="preserve">C1: bookingId = null</x:t>
  </x:si>
  <x:si>
    <x:t xml:space="preserve">C2: request หรือ paymentMethod = null</x:t>
  </x:si>
  <x:si>
    <x:t xml:space="preserve">C3: พบ booking</x:t>
  </x:si>
  <x:si>
    <x:t xml:space="preserve">C4: มี Payment สถานะ COMPLETED อยู่แล้ว</x:t>
  </x:si>
  <x:si>
    <x:t xml:space="preserve">C5: totalPrice &gt; 0</x:t>
  </x:si>
  <x:si>
    <x:t xml:space="preserve">C6: strategy.processPayment สำเร็จ</x:t>
  </x:si>
  <x:si>
    <x:t xml:space="preserve">C7: Payment เดิมสถานะ FAILED/PENDING</x:t>
  </x:si>
  <x:si>
    <x:t xml:space="preserve">A1: ValidationException "Booking ID cannot be null"</x:t>
  </x:si>
  <x:si>
    <x:t xml:space="preserve">A2: ValidationException "Payment method is required"</x:t>
  </x:si>
  <x:si>
    <x:t xml:space="preserve">A3: NotFoundException</x:t>
  </x:si>
  <x:si>
    <x:t xml:space="preserve">A4: ConflictException จ่ายซ้ำ</x:t>
  </x:si>
  <x:si>
    <x:t xml:space="preserve">A5: ValidationException ราคาไม่ถูกต้อง</x:t>
  </x:si>
  <x:si>
    <x:t xml:space="preserve">A6: save Payment FAILED + ValidationException</x:t>
  </x:si>
  <x:si>
    <x:t xml:space="preserve">A7: save Payment COMPLETED + คืน DTO</x:t>
  </x:si>
  <x:si>
    <x:t xml:space="preserve">PaymentServiceImpl.processPayment – ตรวจเงื่อนไขและผลการชำระ</x:t>
  </x:si>
  <x:si>
    <x:t xml:space="preserve">PaymentResponseDTO processPayment(Long bookingId, PaymentRequestDTO request)</x:t>
  </x:si>
  <x:si>
    <x:t xml:space="preserve">UC-19 • BR-PAY-01 Single Full Settlement • BR-PAY-02 Immutable Payment</x:t>
  </x:si>
  <x:si>
    <x:t xml:space="preserve">paymentMethod</x:t>
  </x:si>
  <x:si>
    <x:t xml:space="preserve">UT13-TC001</x:t>
  </x:si>
  <x:si>
    <x:t xml:space="preserve">CASH</x:t>
  </x:si>
  <x:si>
    <x:t xml:space="preserve">ValidationException "Booking ID cannot be null" • ไม่เรียก repository</x:t>
  </x:si>
  <x:si>
    <x:t xml:space="preserve">UT13-TC002</x:t>
  </x:si>
  <x:si>
    <x:t xml:space="preserve">ValidationException "Payment method is required"</x:t>
  </x:si>
  <x:si>
    <x:t xml:space="preserve">UT13-TC003</x:t>
  </x:si>
  <x:si>
    <x:t xml:space="preserve">ไม่พบ booking</x:t>
  </x:si>
  <x:si>
    <x:t xml:space="preserve">NotFoundExceptionv</x:t>
  </x:si>
  <x:si>
    <x:t xml:space="preserve">UT13-TC004</x:t>
  </x:si>
  <x:si>
    <x:t xml:space="preserve">QR_PROMPTPAY</x:t>
  </x:si>
  <x:si>
    <x:t xml:space="preserve">มี Payment COMPLETED อยู่แล้ว</x:t>
  </x:si>
  <x:si>
    <x:t xml:space="preserve">ConflictException "...already been completed..." • ไม่เรียก strategy</x:t>
  </x:si>
  <x:si>
    <x:t xml:space="preserve">UT13-TC005</x:t>
  </x:si>
  <x:si>
    <x:t xml:space="preserve">totalPrice = 0.00</x:t>
  </x:si>
  <x:si>
    <x:t xml:space="preserve">ValidationException "Invalid booking total price"</x:t>
  </x:si>
  <x:si>
    <x:t xml:space="preserve">UT13-TC006</x:t>
  </x:si>
  <x:si>
    <x:t xml:space="preserve">CREDIT_CARD</x:t>
  </x:si>
  <x:si>
    <x:t xml:space="preserve">strategy คืน false</x:t>
  </x:si>
  <x:si>
    <x:t xml:space="preserve">save Payment ที่ status = FAILED 1 ครั้ง แล้วโยน ValidationException • สถานะ booking ไม่เปลี่ยน</x:t>
  </x:si>
  <x:si>
    <x:t xml:space="preserve">ValidationException สถานะ booking ไม่เปลี่ยน</x:t>
  </x:si>
  <x:si>
    <x:t xml:space="preserve">UT13-TC007</x:t>
  </x:si>
  <x:si>
    <x:t xml:space="preserve">ไม่มี Payment เดิม</x:t>
  </x:si>
  <x:si>
    <x:t xml:space="preserve">Payment COMPLETED: gross = net = 600.00, discount = 0, paymentReferenceCode ขึ้นต้น PAY-, receiptNumber ขึ้นต้น REC-</x:t>
  </x:si>
  <x:si>
    <x:t xml:space="preserve">Payment COMPLETED</x:t>
  </x:si>
  <x:si>
    <x:t xml:space="preserve">UT13-TC008</x:t>
  </x:si>
  <x:si>
    <x:t xml:space="preserve">มี Payment เดิมสถานะ FAILED</x:t>
  </x:si>
  <x:si>
    <x:t xml:space="preserve">ชำระได้ (ไม่ถือว่าจ่ายซ้ำ) • Payment ใหม่ COMPLETED</x:t>
  </x:si>
  <x:si>
    <x:t xml:space="preserve">Payment ใหม่ COMPLETED</x:t>
  </x:si>
  <x:si>
    <x:t xml:space="preserve">ไม่มี promoCode</x:t>
  </x:si>
  <x:si>
    <x:t xml:space="preserve">รหัสไม่รู้จัก → ไม่ลด</x:t>
  </x:si>
  <x:si>
    <x:t xml:space="preserve">FIWDEE20 (ลด 20%)</x:t>
  </x:si>
  <x:si>
    <x:t xml:space="preserve">WELCOME100 แต่ราคา &lt; 300 → ไม่ลด</x:t>
  </x:si>
  <x:si>
    <x:t xml:space="preserve">WELCOME100 และราคา ≥ 300</x:t>
  </x:si>
  <x:si>
    <x:t xml:space="preserve">สถานะ CHECKED_IN (ห้ามข้ามไป COMPLETED)</x:t>
  </x:si>
  <x:si>
    <x:t xml:space="preserve">รหัสพิมพ์เล็ก/มีช่องว่าง เช่น " fiwdee20 "</x:t>
  </x:si>
  <x:si>
    <x:t xml:space="preserve">สถานะ CANCELLED / NO_SHOW (ห้ามรับเงิน)</x:t>
  </x:si>
  <x:si>
    <x:t xml:space="preserve">สถานะ PENDING → CONFIRMED</x:t>
  </x:si>
  <x:si>
    <x:t xml:space="preserve">สถานะ CONFIRMED → คงเดิม</x:t>
  </x:si>
  <x:si>
    <x:t xml:space="preserve">สถานะ IN_SERVICE → COMPLETED</x:t>
  </x:si>
  <x:si>
    <x:t xml:space="preserve">PaymentServiceImpl.processPayment – ส่วนลดและสถานะ booking หลังชำระ</x:t>
  </x:si>
  <x:si>
    <x:t xml:space="preserve">processPayment(...) ขั้นที่ 4 (ส่วนลด) และ 8 (อัปเดตสถานะ booking)</x:t>
  </x:si>
  <x:si>
    <x:t xml:space="preserve">BR-PAY-01 • SRS 7.1 • BR-QUE-03 • UC-07 ข้อ 13</x:t>
  </x:si>
  <x:si>
    <x:t xml:space="preserve">สถานะ booking</x:t>
  </x:si>
  <x:si>
    <x:t xml:space="preserve">totalPrice</x:t>
  </x:si>
  <x:si>
    <x:t xml:space="preserve">promoCode</x:t>
  </x:si>
  <x:si>
    <x:t xml:space="preserve">UT14-TC001</x:t>
  </x:si>
  <x:si>
    <x:t xml:space="preserve">600.00</x:t>
  </x:si>
  <x:si>
    <x:t xml:space="preserve">(V1,V6) discount 0, net 600.00 • สถานะคง CONFIRMED</x:t>
  </x:si>
  <x:si>
    <x:t xml:space="preserve">discount 0, net 600.00 • สถานะคง CONFIRMED</x:t>
  </x:si>
  <x:si>
    <x:t xml:space="preserve">UT14-TC002</x:t>
  </x:si>
  <x:si>
    <x:t xml:space="preserve">FIWDEE20</x:t>
  </x:si>
  <x:si>
    <x:t xml:space="preserve">(V2) discount 120.00, net 480.00</x:t>
  </x:si>
  <x:si>
    <x:t xml:space="preserve">discount 120.00, net 480.00</x:t>
  </x:si>
  <x:si>
    <x:t xml:space="preserve">UT14-TC003</x:t>
  </x:si>
  <x:si>
    <x:t xml:space="preserve">WELCOME100</x:t>
  </x:si>
  <x:si>
    <x:t xml:space="preserve">(V3) discount 100.00, net 500.00</x:t>
  </x:si>
  <x:si>
    <x:t xml:space="preserve">discount 100.00, net 500.00</x:t>
  </x:si>
  <x:si>
    <x:t xml:space="preserve">UT14-TC004</x:t>
  </x:si>
  <x:si>
    <x:t xml:space="preserve">" fiwdee20 "</x:t>
  </x:si>
  <x:si>
    <x:t xml:space="preserve">(V4) discount 120.00</x:t>
  </x:si>
  <x:si>
    <x:t xml:space="preserve">discount 120.00</x:t>
  </x:si>
  <x:si>
    <x:t xml:space="preserve">UT14-TC005</x:t>
  </x:si>
  <x:si>
    <x:t xml:space="preserve">SALE50</x:t>
  </x:si>
  <x:si>
    <x:t xml:space="preserve">(I1) discount 0, net 600.00 ไม่โยน Exception</x:t>
  </x:si>
  <x:si>
    <x:t xml:space="preserve">discount 0, net 600.00</x:t>
  </x:si>
  <x:si>
    <x:t xml:space="preserve">UT14-TC006</x:t>
  </x:si>
  <x:si>
    <x:t xml:space="preserve">250.00</x:t>
  </x:si>
  <x:si>
    <x:t xml:space="preserve">(I2) discount 0, net 250.00</x:t>
  </x:si>
  <x:si>
    <x:t xml:space="preserve">discount 0, net 250.00</x:t>
  </x:si>
  <x:si>
    <x:t xml:space="preserve">UT14-TC007</x:t>
  </x:si>
  <x:si>
    <x:t xml:space="preserve">(V5) booking → CONFIRMED และ publish BookingStatusChangedEvent </x:t>
  </x:si>
  <x:si>
    <x:t xml:space="preserve">UT14-TC008</x:t>
  </x:si>
  <x:si>
    <x:t xml:space="preserve">(V7) booking → COMPLETED และ publish event </x:t>
  </x:si>
  <x:si>
    <x:t xml:space="preserve">UT14-TC009</x:t>
  </x:si>
  <x:si>
    <x:t xml:space="preserve">(I3) ชำระได้ แต่สถานะต้องคง CHECKED_IN </x:t>
  </x:si>
  <x:si>
    <x:t xml:space="preserve">UT14-TC010</x:t>
  </x:si>
  <x:si>
    <x:t xml:space="preserve">(I4) ValidationException ห้ามรับเงิน </x:t>
  </x:si>
  <x:si>
    <x:t xml:space="preserve">UT14-TC011</x:t>
  </x:si>
  <x:si>
    <x:t xml:space="preserve">(I4) ValidationException </x:t>
  </x:si>
  <x:si>
    <x:t xml:space="preserve">totalPrice (isApplicable)</x:t>
  </x:si>
  <x:si>
    <x:t xml:space="preserve">grossAmount (calculateDiscount)</x:t>
  </x:si>
  <x:si>
    <x:t xml:space="preserve">299.99</x:t>
  </x:si>
  <x:si>
    <x:t xml:space="preserve">0.00</x:t>
  </x:si>
  <x:si>
    <x:t xml:space="preserve">FixedAmountDiscountStrategy (WELCOME100)</x:t>
  </x:si>
  <x:si>
    <x:t xml:space="preserve">300.00</x:t>
  </x:si>
  <x:si>
    <x:t xml:space="preserve">0.01</x:t>
  </x:si>
  <x:si>
    <x:t xml:space="preserve">300.01</x:t>
  </x:si>
  <x:si>
    <x:t xml:space="preserve">0.02</x:t>
  </x:si>
  <x:si>
    <x:t xml:space="preserve">50.00</x:t>
  </x:si>
  <x:si>
    <x:t xml:space="preserve">isApplicable(Booking) : totalPrice ≥ 300.00 • calculateDiscount(gross) : min(gross, 100.00), gross ≤ 0 → 0</x:t>
  </x:si>
  <x:si>
    <x:t xml:space="preserve">99.99</x:t>
  </x:si>
  <x:si>
    <x:t xml:space="preserve">Discount Strategy (design-patterns.md) • BR-PAY-01</x:t>
  </x:si>
  <x:si>
    <x:t xml:space="preserve">100.01</x:t>
  </x:si>
  <x:si>
    <x:t xml:space="preserve">ค่าที่ส่ง</x:t>
  </x:si>
  <x:si>
    <x:t xml:space="preserve">UT15-TC001</x:t>
  </x:si>
  <x:si>
    <x:t xml:space="preserve">isApplicable</x:t>
  </x:si>
  <x:si>
    <x:t xml:space="preserve">totalPrice 299.99</x:t>
  </x:si>
  <x:si>
    <x:t xml:space="preserve">false</x:t>
  </x:si>
  <x:si>
    <x:t xml:space="preserve">UT15-TC002</x:t>
  </x:si>
  <x:si>
    <x:t xml:space="preserve">totalPrice 300.00</x:t>
  </x:si>
  <x:si>
    <x:t xml:space="preserve">true</x:t>
  </x:si>
  <x:si>
    <x:t xml:space="preserve">UT15-TC003</x:t>
  </x:si>
  <x:si>
    <x:t xml:space="preserve">totalPrice 300.01</x:t>
  </x:si>
  <x:si>
    <x:t xml:space="preserve">UT15-TC004</x:t>
  </x:si>
  <x:si>
    <x:t xml:space="preserve">totalPrice 600.00</x:t>
  </x:si>
  <x:si>
    <x:t xml:space="preserve">UT15-TC005</x:t>
  </x:si>
  <x:si>
    <x:t xml:space="preserve">totalPrice null / booking null</x:t>
  </x:si>
  <x:si>
    <x:t xml:space="preserve">UT15-TC006</x:t>
  </x:si>
  <x:si>
    <x:t xml:space="preserve">calculateDiscount</x:t>
  </x:si>
  <x:si>
    <x:t xml:space="preserve">UT15-TC007</x:t>
  </x:si>
  <x:si>
    <x:t xml:space="preserve">UT15-TC008</x:t>
  </x:si>
  <x:si>
    <x:t xml:space="preserve">UT15-TC009</x:t>
  </x:si>
  <x:si>
    <x:t xml:space="preserve">UT15-TC010</x:t>
  </x:si>
  <x:si>
    <x:t xml:space="preserve">UT15-TC011</x:t>
  </x:si>
  <x:si>
    <x:t xml:space="preserve">100.00</x:t>
  </x:si>
  <x:si>
    <x:t xml:space="preserve">UT15-TC012</x:t>
  </x:si>
  <x:si>
    <x:t xml:space="preserve">UT15-TC013</x:t>
  </x:si>
  <x:si>
    <x:t xml:space="preserve">null / -1.00</x:t>
  </x:si>
  <x:si>
    <x:t xml:space="preserve">UT15-TC014</x:t>
  </x:si>
  <x:si>
    <x:t xml:space="preserve">getPromotionCode</x:t>
  </x:si>
  <x:si>
    <x:t xml:space="preserve">"WELCOME100"</x:t>
  </x:si>
  <x:si>
    <x:t xml:space="preserve">ผลคูณลงตัว 2 ตำแหน่ง</x:t>
  </x:si>
  <x:si>
    <x:t xml:space="preserve">gross = 0</x:t>
  </x:si>
  <x:si>
    <x:t xml:space="preserve">หลักที่ 3 &lt; 5 → ปัดลง</x:t>
  </x:si>
  <x:si>
    <x:t xml:space="preserve">gross ติดลบ</x:t>
  </x:si>
  <x:si>
    <x:t xml:space="preserve">หลักที่ 3 = 5 → ปัดขึ้น (HALF_UP)</x:t>
  </x:si>
  <x:si>
    <x:t xml:space="preserve">gross = null</x:t>
  </x:si>
  <x:si>
    <x:t xml:space="preserve">booking ราคา &gt; 0 → ใช้ได้</x:t>
  </x:si>
  <x:si>
    <x:t xml:space="preserve">booking ราคา 0 / null / booking null</x:t>
  </x:si>
  <x:si>
    <x:t xml:space="preserve">PercentageDiscountStrategy (FIWDEE20)</x:t>
  </x:si>
  <x:si>
    <x:t xml:space="preserve">isApplicable(Booking) : totalPrice &gt; 0 • calculateDiscount(gross) = gross × 0.20 ปัดทศนิยม 2 ตำแหน่งแบบ HALF_UP</x:t>
  </x:si>
  <x:si>
    <x:t xml:space="preserve">Discount Strategy (design-patterns.md)</x:t>
  </x:si>
  <x:si>
    <x:t xml:space="preserve">UT16-TC001</x:t>
  </x:si>
  <x:si>
    <x:t xml:space="preserve">(V1) 120.00</x:t>
  </x:si>
  <x:si>
    <x:t xml:space="preserve">UT16-TC002</x:t>
  </x:si>
  <x:si>
    <x:t xml:space="preserve">(V2) 0.00 (0.002)</x:t>
  </x:si>
  <x:si>
    <x:t xml:space="preserve">0.00 (0.002)</x:t>
  </x:si>
  <x:si>
    <x:t xml:space="preserve">UT16-TC003</x:t>
  </x:si>
  <x:si>
    <x:t xml:space="preserve">0.03</x:t>
  </x:si>
  <x:si>
    <x:t xml:space="preserve">(V3) 0.01 (0.006 ปัดขึ้น)</x:t>
  </x:si>
  <x:si>
    <x:t xml:space="preserve">0.01 (0.006 ปัดขึ้น)</x:t>
  </x:si>
  <x:si>
    <x:t xml:space="preserve">UT16-TC004</x:t>
  </x:si>
  <x:si>
    <x:t xml:space="preserve">0.025</x:t>
  </x:si>
  <x:si>
    <x:t xml:space="preserve">(V3) 0.01 (0.005 → HALF_UP)</x:t>
  </x:si>
  <x:si>
    <x:t xml:space="preserve">0.01 (0.005 → HALF_UP)</x:t>
  </x:si>
  <x:si>
    <x:t xml:space="preserve">UT16-TC005</x:t>
  </x:si>
  <x:si>
    <x:t xml:space="preserve">(V4) true</x:t>
  </x:si>
  <x:si>
    <x:t xml:space="preserve">UT16-TC006</x:t>
  </x:si>
  <x:si>
    <x:t xml:space="preserve">(I1) 0</x:t>
  </x:si>
  <x:si>
    <x:t xml:space="preserve">UT16-TC007</x:t>
  </x:si>
  <x:si>
    <x:t xml:space="preserve">-10.00</x:t>
  </x:si>
  <x:si>
    <x:t xml:space="preserve">(I2) 0</x:t>
  </x:si>
  <x:si>
    <x:t xml:space="preserve">UT16-TC008</x:t>
  </x:si>
  <x:si>
    <x:t xml:space="preserve">(I3) 0</x:t>
  </x:si>
  <x:si>
    <x:t xml:space="preserve">UT16-TC009</x:t>
  </x:si>
  <x:si>
    <x:t xml:space="preserve">totalPrice 0.00 / null / booking null</x:t>
  </x:si>
  <x:si>
    <x:t xml:space="preserve">(I4) false</x:t>
  </x:si>
  <x:si>
    <x:t xml:space="preserve">รหัสตรงตัว</x:t>
  </x:si>
  <x:si>
    <x:t xml:space="preserve">รหัสไม่รู้จัก</x:t>
  </x:si>
  <x:si>
    <x:t xml:space="preserve">รหัสต่างตัวพิมพ์</x:t>
  </x:si>
  <x:si>
    <x:t xml:space="preserve">รหัสมีช่องว่างหน้า/หลัง</x:t>
  </x:si>
  <x:si>
    <x:t xml:space="preserve">"" หรือช่องว่างล้วน</x:t>
  </x:si>
  <x:si>
    <x:t xml:space="preserve">รายการ strategy มีรหัสซ้ำ → ใช้ตัวแรก</x:t>
  </x:si>
  <x:si>
    <x:t xml:space="preserve">factory สร้างด้วย list ว่าง/null</x:t>
  </x:si>
  <x:si>
    <x:t xml:space="preserve">DiscountStrategyFactory.findStrategy(promoCode)</x:t>
  </x:si>
  <x:si>
    <x:t xml:space="preserve">Optional&lt;DiscountStrategy&gt; findStrategy(String promoCode)</x:t>
  </x:si>
  <x:si>
    <x:t xml:space="preserve">Factory + Strategy (OCP)</x:t>
  </x:si>
  <x:si>
    <x:t xml:space="preserve">factory</x:t>
  </x:si>
  <x:si>
    <x:t xml:space="preserve">UT17-TC001</x:t>
  </x:si>
  <x:si>
    <x:t xml:space="preserve">ปกติ</x:t>
  </x:si>
  <x:si>
    <x:t xml:space="preserve">(V1) Optional มี PercentageDiscountStrategy</x:t>
  </x:si>
  <x:si>
    <x:t xml:space="preserve">Optional มี PercentageDiscountStrategy</x:t>
  </x:si>
  <x:si>
    <x:t xml:space="preserve">UT17-TC002</x:t>
  </x:si>
  <x:si>
    <x:t xml:space="preserve">welcome100</x:t>
  </x:si>
  <x:si>
    <x:t xml:space="preserve">(V2) Optional มี FixedAmountDiscountStrategy</x:t>
  </x:si>
  <x:si>
    <x:t xml:space="preserve">Optional มี FixedAmountDiscountStrategy</x:t>
  </x:si>
  <x:si>
    <x:t xml:space="preserve">UT17-TC003</x:t>
  </x:si>
  <x:si>
    <x:t xml:space="preserve">"  FIWDEE20  "</x:t>
  </x:si>
  <x:si>
    <x:t xml:space="preserve">(V3) Optional มี PercentageDiscountStrategy</x:t>
  </x:si>
  <x:si>
    <x:t xml:space="preserve">UT17-TC004</x:t>
  </x:si>
  <x:si>
    <x:t xml:space="preserve">DUP</x:t>
  </x:si>
  <x:si>
    <x:t xml:space="preserve">strategy A, B รหัส DUP ทั้งคู่</x:t>
  </x:si>
  <x:si>
    <x:t xml:space="preserve">(V4) คืน A ไม่โยน IllegalStateException</x:t>
  </x:si>
  <x:si>
    <x:t xml:space="preserve">คืน A ไม่โยน IllegalStateException</x:t>
  </x:si>
  <x:si>
    <x:t xml:space="preserve">UT17-TC005</x:t>
  </x:si>
  <x:si>
    <x:t xml:space="preserve">(I1) Optional.empty()</x:t>
  </x:si>
  <x:si>
    <x:t xml:space="preserve">Optional.empty()</x:t>
  </x:si>
  <x:si>
    <x:t xml:space="preserve">UT17-TC006</x:t>
  </x:si>
  <x:si>
    <x:t xml:space="preserve">(I2) Optional.empty()</x:t>
  </x:si>
  <x:si>
    <x:t xml:space="preserve">UT17-TC007</x:t>
  </x:si>
  <x:si>
    <x:t xml:space="preserve">"   "</x:t>
  </x:si>
  <x:si>
    <x:t xml:space="preserve">(I3) Optional.empty()</x:t>
  </x:si>
  <x:si>
    <x:t xml:space="preserve">UT17-TC008</x:t>
  </x:si>
  <x:si>
    <x:t xml:space="preserve">new DiscountStrategyFactory(null)</x:t>
  </x:si>
  <x:si>
    <x:t xml:space="preserve">(I4) Optional.empty()</x:t>
  </x:si>
  <x:si>
    <x:t xml:space="preserve">method = null</x:t>
  </x:si>
  <x:si>
    <x:t xml:space="preserve">method ไม่มี strategy ลงทะเบียน</x:t>
  </x:si>
  <x:si>
    <x:t xml:space="preserve">payment = null</x:t>
  </x:si>
  <x:si>
    <x:t xml:space="preserve">Payment มี netAmount</x:t>
  </x:si>
  <x:si>
    <x:t xml:space="preserve">netAmount = null</x:t>
  </x:si>
  <x:si>
    <x:t xml:space="preserve">Payment มี paidAt อยู่แล้ว</x:t>
  </x:si>
  <x:si>
    <x:t xml:space="preserve">PaymentStrategyFactory + Cash/QR/CardPaymentStrategy</x:t>
  </x:si>
  <x:si>
    <x:t xml:space="preserve">Functional testing - Strong Normal Equivalence Class Testing (ทุกค่าใน PaymentMethod)</x:t>
  </x:si>
  <x:si>
    <x:t xml:space="preserve">PaymentStrategyFactory.getStrategy(method) • PaymentStrategy.processPayment(payment) • QRPaymentStrategy.generatePromptPayQR</x:t>
  </x:si>
  <x:si>
    <x:t xml:space="preserve">UC-19 • Strategy Pattern (ใบงานข้อ 5.2)</x:t>
  </x:si>
  <x:si>
    <x:t xml:space="preserve">input</x:t>
  </x:si>
  <x:si>
    <x:t xml:space="preserve">UT18-TC001</x:t>
  </x:si>
  <x:si>
    <x:t xml:space="preserve">getStrategy</x:t>
  </x:si>
  <x:si>
    <x:t xml:space="preserve">(V1) CashPaymentStrategy</x:t>
  </x:si>
  <x:si>
    <x:t xml:space="preserve">CashPaymentStrategy</x:t>
  </x:si>
  <x:si>
    <x:t xml:space="preserve">UT18-TC002</x:t>
  </x:si>
  <x:si>
    <x:t xml:space="preserve">(V2) QRPaymentStrategy</x:t>
  </x:si>
  <x:si>
    <x:t xml:space="preserve">QRPaymentStrategy</x:t>
  </x:si>
  <x:si>
    <x:t xml:space="preserve">UT18-TC003</x:t>
  </x:si>
  <x:si>
    <x:t xml:space="preserve">(V3) CardPaymentStrategy</x:t>
  </x:si>
  <x:si>
    <x:t xml:space="preserve">CardPaymentStrategy</x:t>
  </x:si>
  <x:si>
    <x:t xml:space="preserve">UT18-TC004</x:t>
  </x:si>
  <x:si>
    <x:t xml:space="preserve">(I1) ValidationException "Payment method cannot be null"</x:t>
  </x:si>
  <x:si>
    <x:t xml:space="preserve">ValidationException "Payment method cannot be null"</x:t>
  </x:si>
  <x:si>
    <x:t xml:space="preserve">UT18-TC005</x:t>
  </x:si>
  <x:si>
    <x:t xml:space="preserve">getStrategy (factory มีแค่ Cash)</x:t>
  </x:si>
  <x:si>
    <x:t xml:space="preserve">(I2) ValidationException "Unsupported payment method"</x:t>
  </x:si>
  <x:si>
    <x:t xml:space="preserve">ValidationException "Unsupported payment method"</x:t>
  </x:si>
  <x:si>
    <x:t xml:space="preserve">UT18-TC006</x:t>
  </x:si>
  <x:si>
    <x:t xml:space="preserve">Cash.processPayment</x:t>
  </x:si>
  <x:si>
    <x:t xml:space="preserve">net 480.00, paidAt null</x:t>
  </x:si>
  <x:si>
    <x:t xml:space="preserve">(V4) true, status COMPLETED, paidAt ไม่เป็น null</x:t>
  </x:si>
  <x:si>
    <x:t xml:space="preserve">true, status COMPLETED, paidAt ไม่เป็น null</x:t>
  </x:si>
  <x:si>
    <x:t xml:space="preserve">UT18-TC007</x:t>
  </x:si>
  <x:si>
    <x:t xml:space="preserve">Card.processPayment</x:t>
  </x:si>
  <x:si>
    <x:t xml:space="preserve">paidAt = 2026-11-02 10:00</x:t>
  </x:si>
  <x:si>
    <x:t xml:space="preserve">(V5) true, paidAt คงค่าเดิม</x:t>
  </x:si>
  <x:si>
    <x:t xml:space="preserve">true, paidAt คงค่าเดิม</x:t>
  </x:si>
  <x:si>
    <x:t xml:space="preserve">UT18-TC008</x:t>
  </x:si>
  <x:si>
    <x:t xml:space="preserve">QR.processPayment</x:t>
  </x:si>
  <x:si>
    <x:t xml:space="preserve">(I3) false</x:t>
  </x:si>
  <x:si>
    <x:t xml:space="preserve">UT18-TC009</x:t>
  </x:si>
  <x:si>
    <x:t xml:space="preserve">netAmount null</x:t>
  </x:si>
  <x:si>
    <x:t xml:space="preserve">(I4) false, status ไม่เปลี่ยน</x:t>
  </x:si>
  <x:si>
    <x:t xml:space="preserve">false, status ไม่เปลี่ยน</x:t>
  </x:si>
  <x:si>
    <x:t xml:space="preserve">UT18-TC010</x:t>
  </x:si>
  <x:si>
    <x:t xml:space="preserve">QR.generatePromptPayQR</x:t>
  </x:si>
  <x:si>
    <x:t xml:space="preserve">net 480.00</x:t>
  </x:si>
  <x:si>
    <x:t xml:space="preserve">(V4) "https://promptpay.io/0812345678/480.00"</x:t>
  </x:si>
  <x:si>
    <x:t xml:space="preserve">https://promptpay.io/0812345678/480.00</x:t>
  </x:si>
  <x:si>
    <x:t xml:space="preserve">refundAmount</x:t>
  </x:si>
  <x:si>
    <x:t xml:space="preserve">RefundServiceImpl.processRefund – จำนวนเงินคืน</x:t>
  </x:si>
  <x:si>
    <x:t xml:space="preserve">RefundResponseDTO processRefund(RefundRequestDTO request) : 0 &lt; refundAmount ≤ net − คืนไปแล้ว</x:t>
  </x:si>
  <x:si>
    <x:t xml:space="preserve">599.99</x:t>
  </x:si>
  <x:si>
    <x:t xml:space="preserve">UC-10 A1 • BR-PAY-02 (Refund เป็น record แยก)</x:t>
  </x:si>
  <x:si>
    <x:t xml:space="preserve">600.01</x:t>
  </x:si>
  <x:si>
    <x:t xml:space="preserve">UT19-TC001</x:t>
  </x:si>
  <x:si>
    <x:t xml:space="preserve">ValidationException "Refund amount must be greater than zero"</x:t>
  </x:si>
  <x:si>
    <x:t xml:space="preserve">UT19-TC002</x:t>
  </x:si>
  <x:si>
    <x:t xml:space="preserve">บันทึก Refund COMPLETED 0.01 • Payment คง COMPLETED</x:t>
  </x:si>
  <x:si>
    <x:t xml:space="preserve">บันทึก Refund COMPLETED 0.01 Payment คง COMPLETED</x:t>
  </x:si>
  <x:si>
    <x:t xml:space="preserve">UT19-TC003</x:t>
  </x:si>
  <x:si>
    <x:t xml:space="preserve">บันทึก Refund • Payment คง COMPLETED</x:t>
  </x:si>
  <x:si>
    <x:t xml:space="preserve">บันทึก Refund Payment คง COMPLETED</x:t>
  </x:si>
  <x:si>
    <x:t xml:space="preserve">UT19-TC004</x:t>
  </x:si>
  <x:si>
    <x:t xml:space="preserve">UT19-TC005</x:t>
  </x:si>
  <x:si>
    <x:t xml:space="preserve">UT19-TC006</x:t>
  </x:si>
  <x:si>
    <x:t xml:space="preserve">บันทึก Refund • Payment เปลี่ยนเป็น REFUNDED และถูก save</x:t>
  </x:si>
  <x:si>
    <x:t xml:space="preserve">บันทึก Refund Payment เปลี่ยนเป็น REFUNDED และถูก save</x:t>
  </x:si>
  <x:si>
    <x:t xml:space="preserve">UT19-TC007</x:t>
  </x:si>
  <x:si>
    <x:t xml:space="preserve">ValidationException "...exceeds maximum remaining refundable balance (600.00)"</x:t>
  </x:si>
  <x:si>
    <x:t xml:space="preserve">Payment COMPLETED เคยคืนแล้ว 200 (COMPLETED) → คงเหลือ 400</x:t>
  </x:si>
  <x:si>
    <x:t xml:space="preserve">request = null หรือ paymentId = null</x:t>
  </x:si>
  <x:si>
    <x:t xml:space="preserve">Refund เก่าสถานะ FAILED ไม่นับ</x:t>
  </x:si>
  <x:si>
    <x:t xml:space="preserve">ไม่พบ Payment</x:t>
  </x:si>
  <x:si>
    <x:t xml:space="preserve">processedByStaff ว่าง → "Staff"</x:t>
  </x:si>
  <x:si>
    <x:t xml:space="preserve">Payment PENDING / FAILED</x:t>
  </x:si>
  <x:si>
    <x:t xml:space="preserve">ดึง refund ล่าสุดของ payment ที่มี refund</x:t>
  </x:si>
  <x:si>
    <x:t xml:space="preserve">คืนเกินยอดคงเหลือหลังคืนบางส่วน</x:t>
  </x:si>
  <x:si>
    <x:t xml:space="preserve">getRefundByPaymentId ไม่มี refund</x:t>
  </x:si>
  <x:si>
    <x:t xml:space="preserve">id = null ในเมธอด get</x:t>
  </x:si>
  <x:si>
    <x:t xml:space="preserve">RefundServiceImpl – เงื่อนไขอื่นของการคืนเงิน</x:t>
  </x:si>
  <x:si>
    <x:t xml:space="preserve">processRefund(...), getRefundByPaymentId(...), getRefundsByBookingId(...)</x:t>
  </x:si>
  <x:si>
    <x:t xml:space="preserve">UC-10 A1 • BR-PAY-02</x:t>
  </x:si>
  <x:si>
    <x:t xml:space="preserve">สภาพ Payment / refund เดิม</x:t>
  </x:si>
  <x:si>
    <x:t xml:space="preserve">request</x:t>
  </x:si>
  <x:si>
    <x:t xml:space="preserve">UT20-TC001</x:t>
  </x:si>
  <x:si>
    <x:t xml:space="preserve">COMPLETED, คืนแล้ว 200 (COMPLETED)</x:t>
  </x:si>
  <x:si>
    <x:t xml:space="preserve">refund 400.00</x:t>
  </x:si>
  <x:si>
    <x:t xml:space="preserve">(V1) สำเร็จ • Payment → REFUNDED</x:t>
  </x:si>
  <x:si>
    <x:t xml:space="preserve">สำเร็จ • Payment → REFUNDED</x:t>
  </x:si>
  <x:si>
    <x:t xml:space="preserve">UT20-TC002</x:t>
  </x:si>
  <x:si>
    <x:t xml:space="preserve">COMPLETED, refund เก่า 200 สถานะ FAILED</x:t>
  </x:si>
  <x:si>
    <x:t xml:space="preserve">refund 600.00</x:t>
  </x:si>
  <x:si>
    <x:t xml:space="preserve">(V2) สำเร็จ (คงเหลือ 600) • Payment → REFUNDED</x:t>
  </x:si>
  <x:si>
    <x:t xml:space="preserve">สำเร็จ (คงเหลือ 600) • Payment → REFUNDED</x:t>
  </x:si>
  <x:si>
    <x:t xml:space="preserve">UT20-TC003</x:t>
  </x:si>
  <x:si>
    <x:t xml:space="preserve">refund 100, processedByStaff = "  "</x:t>
  </x:si>
  <x:si>
    <x:t xml:space="preserve">(V3) processedByStaff = "Staff"</x:t>
  </x:si>
  <x:si>
    <x:t xml:space="preserve">processedByStaff = "Staff"</x:t>
  </x:si>
  <x:si>
    <x:t xml:space="preserve">UT20-TC004</x:t>
  </x:si>
  <x:si>
    <x:t xml:space="preserve">มี refund 2 รายการ</x:t>
  </x:si>
  <x:si>
    <x:t xml:space="preserve">getRefundByPaymentId(1)</x:t>
  </x:si>
  <x:si>
    <x:t xml:space="preserve">(V4) คืนรายการ id ล่าสุด</x:t>
  </x:si>
  <x:si>
    <x:t xml:space="preserve">คืนรายการ id ล่าสุด</x:t>
  </x:si>
  <x:si>
    <x:t xml:space="preserve">UT20-TC005</x:t>
  </x:si>
  <x:si>
    <x:t xml:space="preserve">request = null</x:t>
  </x:si>
  <x:si>
    <x:t xml:space="preserve">(I1) ValidationException "Payment ID is required..."</x:t>
  </x:si>
  <x:si>
    <x:t xml:space="preserve">UT20-TC006</x:t>
  </x:si>
  <x:si>
    <x:t xml:space="preserve">ไม่พบ Payment#999</x:t>
  </x:si>
  <x:si>
    <x:t xml:space="preserve">paymentId 999, 100.00</x:t>
  </x:si>
  <x:si>
    <x:t xml:space="preserve">(I2) NotFoundException</x:t>
  </x:si>
  <x:si>
    <x:t xml:space="preserve">UT20-TC007</x:t>
  </x:si>
  <x:si>
    <x:t xml:space="preserve">refund 100.00</x:t>
  </x:si>
  <x:si>
    <x:t xml:space="preserve">(I3) ConflictException "...not COMPLETED..."</x:t>
  </x:si>
  <x:si>
    <x:t xml:space="preserve">UT20-TC008</x:t>
  </x:si>
  <x:si>
    <x:t xml:space="preserve">COMPLETED, คืนแล้ว 200</x:t>
  </x:si>
  <x:si>
    <x:t xml:space="preserve">refund 400.01</x:t>
  </x:si>
  <x:si>
    <x:t xml:space="preserve">(I4) ValidationException เกินยอดคงเหลือ 400.00</x:t>
  </x:si>
  <x:si>
    <x:t xml:space="preserve">UT20-TC009</x:t>
  </x:si>
  <x:si>
    <x:t xml:space="preserve">ไม่มี refund</x:t>
  </x:si>
  <x:si>
    <x:t xml:space="preserve">(I5) NotFoundException</x:t>
  </x:si>
  <x:si>
    <x:t xml:space="preserve">UT20-TC010</x:t>
  </x:si>
  <x:si>
    <x:t xml:space="preserve">getRefundsByBookingId(null)</x:t>
  </x:si>
  <x:si>
    <x:t xml:space="preserve">(I6) ValidationException</x:t>
  </x:si>
  <x:si>
    <x:t xml:space="preserve">นาทีก่อนเวลานัด</x:t>
  </x:si>
  <x:si>
    <x:t xml:space="preserve">วันก่อนหน้า</x:t>
  </x:si>
  <x:si>
    <x:t xml:space="preserve">QueueServiceImpl.checkInBooking – ช่วงเวลาที่ check-in ได้</x:t>
  </x:si>
  <x:si>
    <x:t xml:space="preserve">checkInBooking(bookingId) → validateCheckInTime: วันเดียวกัน และ now ≥ start − 30 นาที</x:t>
  </x:si>
  <x:si>
    <x:t xml:space="preserve">BR-QUE-01 • UC-12 A1</x:t>
  </x:si>
  <x:si>
    <x:t xml:space="preserve">now</x:t>
  </x:si>
  <x:si>
    <x:t xml:space="preserve">UT21-TC001</x:t>
  </x:si>
  <x:si>
    <x:t xml:space="preserve">2026-11-02 13:50</x:t>
  </x:si>
  <x:si>
    <x:t xml:space="preserve">สำเร็จ: booking → CHECKED_IN, publish event 1 ครั้ง, คืน QueueItem</x:t>
  </x:si>
  <x:si>
    <x:t xml:space="preserve">สำเร็จ</x:t>
  </x:si>
  <x:si>
    <x:t xml:space="preserve">UT21-TC002</x:t>
  </x:si>
  <x:si>
    <x:t xml:space="preserve">2026-11-02 13:29</x:t>
  </x:si>
  <x:si>
    <x:t xml:space="preserve">ValidationException "...within 30 minutes..." • สถานะคง CONFIRMED</x:t>
  </x:si>
  <x:si>
    <x:t xml:space="preserve">UT21-TC003</x:t>
  </x:si>
  <x:si>
    <x:t xml:space="preserve">2026-11-02 13:30</x:t>
  </x:si>
  <x:si>
    <x:t xml:space="preserve">UT21-TC004</x:t>
  </x:si>
  <x:si>
    <x:t xml:space="preserve">2026-11-02 13:31</x:t>
  </x:si>
  <x:si>
    <x:t xml:space="preserve">UT21-TC005</x:t>
  </x:si>
  <x:si>
    <x:t xml:space="preserve">2026-11-01 13:50</x:t>
  </x:si>
  <x:si>
    <x:t xml:space="preserve">ValidationException "...on its scheduled date"</x:t>
  </x:si>
  <x:si>
    <x:t xml:space="preserve">UT21-TC006</x:t>
  </x:si>
  <x:si>
    <x:t xml:space="preserve">2026-11-02 15:00</x:t>
  </x:si>
  <x:si>
    <x:t xml:space="preserve">-60 (มาสาย)</x:t>
  </x:si>
  <x:si>
    <x:t xml:space="preserve">สำเร็จ (โค้ดไม่มีขอบบน — ดู Q4 กรณีสายเกิน 15 นาที)</x:t>
  </x:si>
  <x:si>
    <x:t xml:space="preserve">booking CONFIRMED</x:t>
  </x:si>
  <x:si>
    <x:t xml:space="preserve">booking CHECKED_IN และมีคิวแล้ว (เรียกซ้ำ)</x:t>
  </x:si>
  <x:si>
    <x:t xml:space="preserve">สถานะอื่น (PENDING, CANCELLED, ...)</x:t>
  </x:si>
  <x:si>
    <x:t xml:space="preserve">booking CHECKED_IN แต่ยังไม่มีคิว</x:t>
  </x:si>
  <x:si>
    <x:t xml:space="preserve">generateQueueItem กับ booking ที่ยังไม่ CHECKED_IN</x:t>
  </x:si>
  <x:si>
    <x:t xml:space="preserve">วันนั้นยังไม่มีคิว → Q001</x:t>
  </x:si>
  <x:si>
    <x:t xml:space="preserve">callNextQueue ไม่มีคิว WAITING</x:t>
  </x:si>
  <x:si>
    <x:t xml:space="preserve">มี Q001–Q003 → Q004</x:t>
  </x:si>
  <x:si>
    <x:t xml:space="preserve">มีคิวที่เลขผิดรูปแบบ (null, "QX") → นับเป็น 0</x:t>
  </x:si>
  <x:si>
    <x:t xml:space="preserve">QueueServiceImpl – สถานะ booking ตอน check-in และเลขคิว</x:t>
  </x:si>
  <x:si>
    <x:t xml:space="preserve">checkInBooking(bookingId), generateQueueItem(Booking), callNextQueue()</x:t>
  </x:si>
  <x:si>
    <x:t xml:space="preserve">UC-12 • UC-13 • Observer (QueueListener)</x:t>
  </x:si>
  <x:si>
    <x:t xml:space="preserve">สภาพข้อมูล</x:t>
  </x:si>
  <x:si>
    <x:t xml:space="preserve">UT22-TC001</x:t>
  </x:si>
  <x:si>
    <x:t xml:space="preserve">checkInBooking(10)</x:t>
  </x:si>
  <x:si>
    <x:t xml:space="preserve">CONFIRMED, ไม่มีคิว</x:t>
  </x:si>
  <x:si>
    <x:t xml:space="preserve">(V1) CHECKED_IN, save booking, publish event (CONFIRMED→CHECKED_IN)</x:t>
  </x:si>
  <x:si>
    <x:t xml:space="preserve">CHECKED_IN, save booking, publish event</x:t>
  </x:si>
  <x:si>
    <x:t xml:space="preserve">UT22-TC002</x:t>
  </x:si>
  <x:si>
    <x:t xml:space="preserve">CHECKED_IN, มีคิว Q002</x:t>
  </x:si>
  <x:si>
    <x:t xml:space="preserve">(V2) คืน Q002 เดิม ไม่สร้างใหม่ ไม่ publish event</x:t>
  </x:si>
  <x:si>
    <x:t xml:space="preserve">คืน Q002 เดิม ไม่สร้างใหม่ ไม่ publish event</x:t>
  </x:si>
  <x:si>
    <x:t xml:space="preserve">UT22-TC003</x:t>
  </x:si>
  <x:si>
    <x:t xml:space="preserve">CHECKED_IN, ไม่มีคิว</x:t>
  </x:si>
  <x:si>
    <x:t xml:space="preserve">(V3) สร้างคิวใหม่ status WAITING, priority 0</x:t>
  </x:si>
  <x:si>
    <x:t xml:space="preserve">สร้างคิวใหม่ status WAITING, priority 0</x:t>
  </x:si>
  <x:si>
    <x:t xml:space="preserve">UT22-TC004</x:t>
  </x:si>
  <x:si>
    <x:t xml:space="preserve">generateQueueItem(booking)</x:t>
  </x:si>
  <x:si>
    <x:t xml:space="preserve">วันนั้นไม่มีคิว</x:t>
  </x:si>
  <x:si>
    <x:t xml:space="preserve">(V4) queueNumber = "Q001"</x:t>
  </x:si>
  <x:si>
    <x:t xml:space="preserve">queueNumber = "Q001"</x:t>
  </x:si>
  <x:si>
    <x:t xml:space="preserve">UT22-TC005</x:t>
  </x:si>
  <x:si>
    <x:t xml:space="preserve">มี Q001, Q002, Q003</x:t>
  </x:si>
  <x:si>
    <x:t xml:space="preserve">(V5) queueNumber = "Q004"</x:t>
  </x:si>
  <x:si>
    <x:t xml:space="preserve">queueNumber = "Q004"</x:t>
  </x:si>
  <x:si>
    <x:t xml:space="preserve">UT22-TC006</x:t>
  </x:si>
  <x:si>
    <x:t xml:space="preserve">มี Q001 และคิว queueNumber = null, "QX"</x:t>
  </x:si>
  <x:si>
    <x:t xml:space="preserve">(V6) queueNumber = "Q002"</x:t>
  </x:si>
  <x:si>
    <x:t xml:space="preserve">queueNumber = "Q002"</x:t>
  </x:si>
  <x:si>
    <x:t xml:space="preserve">UT22-TC007</x:t>
  </x:si>
  <x:si>
    <x:t xml:space="preserve">checkInBooking(999)</x:t>
  </x:si>
  <x:si>
    <x:t xml:space="preserve">ไม่พบ</x:t>
  </x:si>
  <x:si>
    <x:t xml:space="preserve">UT22-TC008</x:t>
  </x:si>
  <x:si>
    <x:t xml:space="preserve">(I2) ValidationException "Only confirmed bookings can be checked in"</x:t>
  </x:si>
  <x:si>
    <x:t xml:space="preserve">UT22-TC009</x:t>
  </x:si>
  <x:si>
    <x:t xml:space="preserve">(I3) ValidationException "...only be created after check-in"</x:t>
  </x:si>
  <x:si>
    <x:t xml:space="preserve">UT22-TC010</x:t>
  </x:si>
  <x:si>
    <x:t xml:space="preserve">callNextQueue()</x:t>
  </x:si>
  <x:si>
    <x:t xml:space="preserve">ไม่มีคิว WAITING วันนี้</x:t>
  </x:si>
  <x:si>
    <x:t xml:space="preserve">(I4) NotFoundException</x:t>
  </x:si>
  <x:si>
    <x:t xml:space="preserve">EC1 (สถานะปัจจุบัน) = { WAITING, CALLED, IN_SERVICE, COMPLETED, CANCELLED }</x:t>
  </x:si>
  <x:si>
    <x:t xml:space="preserve">EC2 (สถานะที่ขอ) = { WAITING, CALLED, IN_SERVICE, COMPLETED, CANCELLED, null }</x:t>
  </x:si>
  <x:si>
    <x:t xml:space="preserve">WAITING</x:t>
  </x:si>
  <x:si>
    <x:t xml:space="preserve">CALLED</x:t>
  </x:si>
  <x:si>
    <x:t xml:space="preserve">C2 = WAITING</x:t>
  </x:si>
  <x:si>
    <x:t xml:space="preserve">=</x:t>
  </x:si>
  <x:si>
    <x:t xml:space="preserve">C2 = CALLED</x:t>
  </x:si>
  <x:si>
    <x:t xml:space="preserve">✓</x:t>
  </x:si>
  <x:si>
    <x:t xml:space="preserve">C2 = IN_SERVICE</x:t>
  </x:si>
  <x:si>
    <x:t xml:space="preserve">C2 = COMPLETED</x:t>
  </x:si>
  <x:si>
    <x:t xml:space="preserve">C2 = CANCELLED</x:t>
  </x:si>
  <x:si>
    <x:t xml:space="preserve">A1: ✓ เปลี่ยนสถานะ + save</x:t>
  </x:si>
  <x:si>
    <x:t xml:space="preserve">A2: = คืนคิวเดิมไม่ save</x:t>
  </x:si>
  <x:si>
    <x:t xml:space="preserve">A3: ✗ ValidationException</x:t>
  </x:si>
  <x:si>
    <x:t xml:space="preserve">QueueServiceImpl.updateQueueStatus – การเปลี่ยนสถานะคิว</x:t>
  </x:si>
  <x:si>
    <x:t xml:space="preserve">QueueItem updateQueueStatus(Long queueId, QueueStatus status) → isAllowedTransition(current, requested)</x:t>
  </x:si>
  <x:si>
    <x:t xml:space="preserve">UC-13 • UC-16 • UC-17</x:t>
  </x:si>
  <x:si>
    <x:t xml:space="preserve">สถานะที่ขอ</x:t>
  </x:si>
  <x:si>
    <x:t xml:space="preserve">WAITING→WAITING</x:t>
  </x:si>
  <x:si>
    <x:t xml:space="preserve">UT23-TC001</x:t>
  </x:si>
  <x:si>
    <x:t xml:space="preserve">คืนคิวเดิม ไม่เรียก save (สถานะเดียวกัน)</x:t>
  </x:si>
  <x:si>
    <x:t xml:space="preserve">คืนคิวเดิม ไม่เรียก save</x:t>
  </x:si>
  <x:si>
    <x:t xml:space="preserve">WAITING→CALLED</x:t>
  </x:si>
  <x:si>
    <x:t xml:space="preserve">UT23-TC002</x:t>
  </x:si>
  <x:si>
    <x:t xml:space="preserve">queueStatus = CALLED และตั้ง calledTime • save 1 ครั้ง</x:t>
  </x:si>
  <x:si>
    <x:t xml:space="preserve">queueStatus = CALLED</x:t>
  </x:si>
  <x:si>
    <x:t xml:space="preserve">WAITING→IN_SERVICE</x:t>
  </x:si>
  <x:si>
    <x:t xml:space="preserve">UT23-TC003</x:t>
  </x:si>
  <x:si>
    <x:t xml:space="preserve">ValidationException "Queue status cannot transition from WAITING to IN_SERVICE"</x:t>
  </x:si>
  <x:si>
    <x:t xml:space="preserve">WAITING→COMPLETED</x:t>
  </x:si>
  <x:si>
    <x:t xml:space="preserve">UT23-TC004</x:t>
  </x:si>
  <x:si>
    <x:t xml:space="preserve">ValidationException "Queue status cannot transition from WAITING to COMPLETED"</x:t>
  </x:si>
  <x:si>
    <x:t xml:space="preserve">WAITING→CANCELLED</x:t>
  </x:si>
  <x:si>
    <x:t xml:space="preserve">UT23-TC005</x:t>
  </x:si>
  <x:si>
    <x:t xml:space="preserve">queueStatus = CANCELLED • save 1 ครั้ง</x:t>
  </x:si>
  <x:si>
    <x:t xml:space="preserve">queueStatus = CANCELLED</x:t>
  </x:si>
  <x:si>
    <x:t xml:space="preserve">CALLED→WAITING</x:t>
  </x:si>
  <x:si>
    <x:t xml:space="preserve">UT23-TC006</x:t>
  </x:si>
  <x:si>
    <x:t xml:space="preserve">ValidationException "Queue status cannot transition from CALLED to WAITING"</x:t>
  </x:si>
  <x:si>
    <x:t xml:space="preserve">CALLED→CALLED</x:t>
  </x:si>
  <x:si>
    <x:t xml:space="preserve">UT23-TC007</x:t>
  </x:si>
  <x:si>
    <x:t xml:space="preserve">CALLED→IN_SERVICE</x:t>
  </x:si>
  <x:si>
    <x:t xml:space="preserve">UT23-TC008</x:t>
  </x:si>
  <x:si>
    <x:t xml:space="preserve">queueStatus = IN_SERVICE • save 1 ครั้ง</x:t>
  </x:si>
  <x:si>
    <x:t xml:space="preserve">CALLED→COMPLETED</x:t>
  </x:si>
  <x:si>
    <x:t xml:space="preserve">UT23-TC009</x:t>
  </x:si>
  <x:si>
    <x:t xml:space="preserve">ValidationException "Queue status cannot transition from CALLED to COMPLETED"</x:t>
  </x:si>
  <x:si>
    <x:t xml:space="preserve">CALLED→CANCELLED</x:t>
  </x:si>
  <x:si>
    <x:t xml:space="preserve">UT23-TC010</x:t>
  </x:si>
  <x:si>
    <x:t xml:space="preserve">IN_SERVICE→WAITING</x:t>
  </x:si>
  <x:si>
    <x:t xml:space="preserve">UT23-TC011</x:t>
  </x:si>
  <x:si>
    <x:t xml:space="preserve">ValidationException "Queue status cannot transition from IN_SERVICE to WAITING"</x:t>
  </x:si>
  <x:si>
    <x:t xml:space="preserve">IN_SERVICE→CALLED</x:t>
  </x:si>
  <x:si>
    <x:t xml:space="preserve">UT23-TC012</x:t>
  </x:si>
  <x:si>
    <x:t xml:space="preserve">ValidationException "Queue status cannot transition from IN_SERVICE to CALLED"</x:t>
  </x:si>
  <x:si>
    <x:t xml:space="preserve">IN_SERVICE→IN_SERVICE</x:t>
  </x:si>
  <x:si>
    <x:t xml:space="preserve">UT23-TC013</x:t>
  </x:si>
  <x:si>
    <x:t xml:space="preserve">IN_SERVICE→COMPLETED</x:t>
  </x:si>
  <x:si>
    <x:t xml:space="preserve">UT23-TC014</x:t>
  </x:si>
  <x:si>
    <x:t xml:space="preserve">queueStatus = COMPLETED • save 1 ครั้ง</x:t>
  </x:si>
  <x:si>
    <x:t xml:space="preserve">queueStatus = COMPLETED</x:t>
  </x:si>
  <x:si>
    <x:t xml:space="preserve">IN_SERVICE→CANCELLED</x:t>
  </x:si>
  <x:si>
    <x:t xml:space="preserve">UT23-TC015</x:t>
  </x:si>
  <x:si>
    <x:t xml:space="preserve">ValidationException "Queue status cannot transition from IN_SERVICE to CANCELLED"</x:t>
  </x:si>
  <x:si>
    <x:t xml:space="preserve">COMPLETED→WAITING</x:t>
  </x:si>
  <x:si>
    <x:t xml:space="preserve">UT23-TC016</x:t>
  </x:si>
  <x:si>
    <x:t xml:space="preserve">ValidationException "Queue status cannot transition from COMPLETED to WAITING"</x:t>
  </x:si>
  <x:si>
    <x:t xml:space="preserve">COMPLETED→CALLED</x:t>
  </x:si>
  <x:si>
    <x:t xml:space="preserve">UT23-TC017</x:t>
  </x:si>
  <x:si>
    <x:t xml:space="preserve">ValidationException "Queue status cannot transition from COMPLETED to CALLED"</x:t>
  </x:si>
  <x:si>
    <x:t xml:space="preserve">COMPLETED→IN_SERVICE</x:t>
  </x:si>
  <x:si>
    <x:t xml:space="preserve">UT23-TC018</x:t>
  </x:si>
  <x:si>
    <x:t xml:space="preserve">ValidationException "Queue status cannot transition from COMPLETED to IN_SERVICE"</x:t>
  </x:si>
  <x:si>
    <x:t xml:space="preserve">COMPLETED→COMPLETED</x:t>
  </x:si>
  <x:si>
    <x:t xml:space="preserve">UT23-TC019</x:t>
  </x:si>
  <x:si>
    <x:t xml:space="preserve">COMPLETED→CANCELLED</x:t>
  </x:si>
  <x:si>
    <x:t xml:space="preserve">UT23-TC020</x:t>
  </x:si>
  <x:si>
    <x:t xml:space="preserve">ValidationException "Queue status cannot transition from COMPLETED to CANCELLED"</x:t>
  </x:si>
  <x:si>
    <x:t xml:space="preserve">CANCELLED→WAITING</x:t>
  </x:si>
  <x:si>
    <x:t xml:space="preserve">UT23-TC021</x:t>
  </x:si>
  <x:si>
    <x:t xml:space="preserve">ValidationException "Queue status cannot transition from CANCELLED to WAITING"</x:t>
  </x:si>
  <x:si>
    <x:t xml:space="preserve">CANCELLED→CALLED</x:t>
  </x:si>
  <x:si>
    <x:t xml:space="preserve">UT23-TC022</x:t>
  </x:si>
  <x:si>
    <x:t xml:space="preserve">ValidationException "Queue status cannot transition from CANCELLED to CALLED"</x:t>
  </x:si>
  <x:si>
    <x:t xml:space="preserve">CANCELLED→IN_SERVICE</x:t>
  </x:si>
  <x:si>
    <x:t xml:space="preserve">UT23-TC023</x:t>
  </x:si>
  <x:si>
    <x:t xml:space="preserve">ValidationException "Queue status cannot transition from CANCELLED to IN_SERVICE"</x:t>
  </x:si>
  <x:si>
    <x:t xml:space="preserve">CANCELLED→COMPLETED</x:t>
  </x:si>
  <x:si>
    <x:t xml:space="preserve">UT23-TC024</x:t>
  </x:si>
  <x:si>
    <x:t xml:space="preserve">ValidationException "Queue status cannot transition from CANCELLED to COMPLETED"</x:t>
  </x:si>
  <x:si>
    <x:t xml:space="preserve">CANCELLED→CANCELLED</x:t>
  </x:si>
  <x:si>
    <x:t xml:space="preserve">UT23-TC025</x:t>
  </x:si>
  <x:si>
    <x:t xml:space="preserve">UT23-TC026</x:t>
  </x:si>
  <x:si>
    <x:t xml:space="preserve">ValidationException "Queue status is required"</x:t>
  </x:si>
  <x:si>
    <x:t xml:space="preserve">EC1 (action) = { START, COMPLETE }</x:t>
  </x:si>
  <x:si>
    <x:t xml:space="preserve">EC2 (therapistId) = { ตรงกับ booking, ไม่ตรง/null }</x:t>
  </x:si>
  <x:si>
    <x:t xml:space="preserve">C1: action</x:t>
  </x:si>
  <x:si>
    <x:t xml:space="preserve">START</x:t>
  </x:si>
  <x:si>
    <x:t xml:space="preserve">COMPLETE</x:t>
  </x:si>
  <x:si>
    <x:t xml:space="preserve">C2: therapistId ตรงกับ booking</x:t>
  </x:si>
  <x:si>
    <x:t xml:space="preserve">C3: สถานะ booking</x:t>
  </x:si>
  <x:si>
    <x:t xml:space="preserve">≠ CHECKED_IN</x:t>
  </x:si>
  <x:si>
    <x:t xml:space="preserve">≠ IN_SERVICE หรือคิว ≠ IN_SERVICE</x:t>
  </x:si>
  <x:si>
    <x:t xml:space="preserve">C4: สถานะคิว</x:t>
  </x:si>
  <x:si>
    <x:t xml:space="preserve">≠ CALLED</x:t>
  </x:si>
  <x:si>
    <x:t xml:space="preserve">A1: ValidationException ไม่ใช่หมอนวดที่รับคิว</x:t>
  </x:si>
  <x:si>
    <x:t xml:space="preserve">A2: ValidationException สถานะไม่ถูกต้อง</x:t>
  </x:si>
  <x:si>
    <x:t xml:space="preserve">A3: booking IN_SERVICE, actualStartTime, ห้อง OCCUPIED, คิว IN_SERVICE, publish event</x:t>
  </x:si>
  <x:si>
    <x:t xml:space="preserve">A4: booking COMPLETED, actualEndTime, ห้อง CLEANING, คิว COMPLETED, publish event</x:t>
  </x:si>
  <x:si>
    <x:t xml:space="preserve">TherapistExecutionServiceImpl – เริ่ม/จบการให้บริการ</x:t>
  </x:si>
  <x:si>
    <x:t xml:space="preserve">startService(queueId, therapistId) • completeService(queueId, therapistId)</x:t>
  </x:si>
  <x:si>
    <x:t xml:space="preserve">UC-16 • UC-17 • SRS 5.2 (ห้อง OCCUPIED / CLEANING) • Observer</x:t>
  </x:si>
  <x:si>
    <x:t xml:space="preserve">action</x:t>
  </x:si>
  <x:si>
    <x:t xml:space="preserve">booking / คิว</x:t>
  </x:si>
  <x:si>
    <x:t xml:space="preserve">UT24-TC001</x:t>
  </x:si>
  <x:si>
    <x:t xml:space="preserve">8</x:t>
  </x:si>
  <x:si>
    <x:t xml:space="preserve">CHECKED_IN / CALLED</x:t>
  </x:si>
  <x:si>
    <x:t xml:space="preserve">ValidationException "...not assigned to the specified therapist"</x:t>
  </x:si>
  <x:si>
    <x:t xml:space="preserve">UT24-TC002</x:t>
  </x:si>
  <x:si>
    <x:t xml:space="preserve">ValidationException (therapistId null)</x:t>
  </x:si>
  <x:si>
    <x:t xml:space="preserve">UT24-TC003</x:t>
  </x:si>
  <x:si>
    <x:t xml:space="preserve">CONFIRMED / CALLED</x:t>
  </x:si>
  <x:si>
    <x:t xml:space="preserve">ValidationException "Only checked-in bookings can start service"</x:t>
  </x:si>
  <x:si>
    <x:t xml:space="preserve">UT24-TC004</x:t>
  </x:si>
  <x:si>
    <x:t xml:space="preserve">CHECKED_IN / WAITING</x:t>
  </x:si>
  <x:si>
    <x:t xml:space="preserve">ValidationException "The customer must be called..."</x:t>
  </x:si>
  <x:si>
    <x:t xml:space="preserve">UT24-TC005</x:t>
  </x:si>
  <x:si>
    <x:t xml:space="preserve">booking IN_SERVICE, actualStartTime ไม่ null, R101 OCCUPIED, updateQueueStatus(IN_SERVICE), event CHECKED_IN→IN_SERVICE</x:t>
  </x:si>
  <x:si>
    <x:t xml:space="preserve">UT24-TC006</x:t>
  </x:si>
  <x:si>
    <x:t xml:space="preserve">IN_SERVICE / IN_SERVICE</x:t>
  </x:si>
  <x:si>
    <x:t xml:space="preserve">ValidationException ไม่ใช่หมอนวดที่รับคิว</x:t>
  </x:si>
  <x:si>
    <x:t xml:space="preserve">UT24-TC007</x:t>
  </x:si>
  <x:si>
    <x:t xml:space="preserve">IN_SERVICE / CALLED</x:t>
  </x:si>
  <x:si>
    <x:t xml:space="preserve">ValidationException "Only an in-service queue item can be completed"</x:t>
  </x:si>
  <x:si>
    <x:t xml:space="preserve">UT24-TC008</x:t>
  </x:si>
  <x:si>
    <x:t xml:space="preserve">booking COMPLETED, actualEndTime ไม่ null, R101 CLEANING, updateQueueStatus(COMPLETED), event IN_SERVICE→COMPLETED</x:t>
  </x:si>
  <x:si>
    <x:t xml:space="preserve">overallRating</x:t>
  </x:si>
  <x:si>
    <x:t xml:space="preserve">therapistRating</x:t>
  </x:si>
  <x:si>
    <x:t xml:space="preserve">cleanlinessRating</x:t>
  </x:si>
  <x:si>
    <x:t xml:space="preserve">ReviewServiceImpl.submitReview – คะแนน 3 ด้าน</x:t>
  </x:si>
  <x:si>
    <x:t xml:space="preserve">Review submitReview(bookingId, overallRating, therapistRating, cleanlinessRating, comment)</x:t>
  </x:si>
  <x:si>
    <x:t xml:space="preserve">4</x:t>
  </x:si>
  <x:si>
    <x:t xml:space="preserve">SRS 3.4 (ให้คะแนน 1–5 ดาว) • UC-18</x:t>
  </x:si>
  <x:si>
    <x:t xml:space="preserve">UT25-TC001</x:t>
  </x:si>
  <x:si>
    <x:t xml:space="preserve">บันทึกรีวิวสำเร็จ (nom)</x:t>
  </x:si>
  <x:si>
    <x:t xml:space="preserve">บันทึกรีวิวสำเร็จ</x:t>
  </x:si>
  <x:si>
    <x:t xml:space="preserve">UT25-TC002</x:t>
  </x:si>
  <x:si>
    <x:t xml:space="preserve">ValidationException "Overall rating must be between 1 and 5" • ไม่บันทึก</x:t>
  </x:si>
  <x:si>
    <x:t xml:space="preserve">UT25-TC003</x:t>
  </x:si>
  <x:si>
    <x:t xml:space="preserve">บันทึกรีวิวสำเร็จ (saveAndFlush 1 ครั้ง)</x:t>
  </x:si>
  <x:si>
    <x:t xml:space="preserve">UT25-TC004</x:t>
  </x:si>
  <x:si>
    <x:t xml:space="preserve">UT25-TC005</x:t>
  </x:si>
  <x:si>
    <x:t xml:space="preserve">UT25-TC006</x:t>
  </x:si>
  <x:si>
    <x:t xml:space="preserve">UT25-TC007</x:t>
  </x:si>
  <x:si>
    <x:t xml:space="preserve">UT25-TC008</x:t>
  </x:si>
  <x:si>
    <x:t xml:space="preserve">ValidationException "Therapist rating must be between 1 and 5" • ไม่บันทึก</x:t>
  </x:si>
  <x:si>
    <x:t xml:space="preserve">UT25-TC009</x:t>
  </x:si>
  <x:si>
    <x:t xml:space="preserve">UT25-TC010</x:t>
  </x:si>
  <x:si>
    <x:t xml:space="preserve">UT25-TC011</x:t>
  </x:si>
  <x:si>
    <x:t xml:space="preserve">UT25-TC012</x:t>
  </x:si>
  <x:si>
    <x:t xml:space="preserve">UT25-TC013</x:t>
  </x:si>
  <x:si>
    <x:t xml:space="preserve">UT25-TC014</x:t>
  </x:si>
  <x:si>
    <x:t xml:space="preserve">ValidationException "Cleanliness rating must be between 1 and 5" • ไม่บันทึก</x:t>
  </x:si>
  <x:si>
    <x:t xml:space="preserve">UT25-TC015</x:t>
  </x:si>
  <x:si>
    <x:t xml:space="preserve">UT25-TC016</x:t>
  </x:si>
  <x:si>
    <x:t xml:space="preserve">UT25-TC017</x:t>
  </x:si>
  <x:si>
    <x:t xml:space="preserve">UT25-TC018</x:t>
  </x:si>
  <x:si>
    <x:t xml:space="preserve">UT25-TC019</x:t>
  </x:si>
  <x:si>
    <x:t xml:space="preserve">booking COMPLETED ยังไม่มีรีวิว</x:t>
  </x:si>
  <x:si>
    <x:t xml:space="preserve">comment มีช่องว่างหน้า/หลัง → trim</x:t>
  </x:si>
  <x:si>
    <x:t xml:space="preserve">booking ยังไม่ COMPLETED</x:t>
  </x:si>
  <x:si>
    <x:t xml:space="preserve">comment ว่างหรือช่องว่างล้วน → null</x:t>
  </x:si>
  <x:si>
    <x:t xml:space="preserve">รีวิวซ้ำ</x:t>
  </x:si>
  <x:si>
    <x:t xml:space="preserve">หมอนวดมีรีวิว 5, 4, 4 → average 4.33</x:t>
  </x:si>
  <x:si>
    <x:t xml:space="preserve">คะแนน = null</x:t>
  </x:si>
  <x:si>
    <x:t xml:space="preserve">booking ไม่มีหมอนวด → ไม่คำนวณ average และไม่ error</x:t>
  </x:si>
  <x:si>
    <x:t xml:space="preserve">ผู้รีวิวไม่ใช่เจ้าของ booking</x:t>
  </x:si>
  <x:si>
    <x:t xml:space="preserve">ReviewServiceImpl.submitReview – เงื่อนไขอื่น</x:t>
  </x:si>
  <x:si>
    <x:t xml:space="preserve">submitReview(...) • refreshTherapistAverageRating • normalizeComment</x:t>
  </x:si>
  <x:si>
    <x:t xml:space="preserve">UC-18 • SRS 3.4 • BR-SEC-01</x:t>
  </x:si>
  <x:si>
    <x:t xml:space="preserve">bookingId / สถานะ</x:t>
  </x:si>
  <x:si>
    <x:t xml:space="preserve">comment / อื่น ๆ</x:t>
  </x:si>
  <x:si>
    <x:t xml:space="preserve">UT26-TC001</x:t>
  </x:si>
  <x:si>
    <x:t xml:space="preserve">10 / COMPLETED</x:t>
  </x:si>
  <x:si>
    <x:t xml:space="preserve">"นวดดีมาก"</x:t>
  </x:si>
  <x:si>
    <x:t xml:space="preserve">(V1) บันทึกสำเร็จ, booking.review ถูกตั้งค่า</x:t>
  </x:si>
  <x:si>
    <x:t xml:space="preserve">บันทึกสำเร็จ</x:t>
  </x:si>
  <x:si>
    <x:t xml:space="preserve">UT26-TC002</x:t>
  </x:si>
  <x:si>
    <x:t xml:space="preserve">"  นวดดีมาก  "</x:t>
  </x:si>
  <x:si>
    <x:t xml:space="preserve">(V2) comment = "นวดดีมาก"</x:t>
  </x:si>
  <x:si>
    <x:t xml:space="preserve">comment = "นวดดีมาก"</x:t>
  </x:si>
  <x:si>
    <x:t xml:space="preserve">UT26-TC003</x:t>
  </x:si>
  <x:si>
    <x:t xml:space="preserve">(V3) comment = null</x:t>
  </x:si>
  <x:si>
    <x:t xml:space="preserve">comment = null</x:t>
  </x:si>
  <x:si>
    <x:t xml:space="preserve">UT26-TC004</x:t>
  </x:si>
  <x:si>
    <x:t xml:space="preserve">รีวิวหมอนวด T5 รวม 5, 4, 4</x:t>
  </x:si>
  <x:si>
    <x:t xml:space="preserve">(V4) T5.averageRating = 4.33</x:t>
  </x:si>
  <x:si>
    <x:t xml:space="preserve">T5.averageRating = 4.33</x:t>
  </x:si>
  <x:si>
    <x:t xml:space="preserve">UT26-TC005</x:t>
  </x:si>
  <x:si>
    <x:t xml:space="preserve">30 / COMPLETED (therapist = null)</x:t>
  </x:si>
  <x:si>
    <x:t xml:space="preserve">(V5) บันทึกสำเร็จ ไม่เกิด NullPointerException</x:t>
  </x:si>
  <x:si>
    <x:t xml:space="preserve">UT26-TC006</x:t>
  </x:si>
  <x:si>
    <x:t xml:space="preserve">UT26-TC007</x:t>
  </x:si>
  <x:si>
    <x:t xml:space="preserve">10 / CONFIRMED</x:t>
  </x:si>
  <x:si>
    <x:t xml:space="preserve">(I2) ValidationException "...only be submitted for a completed booking"</x:t>
  </x:si>
  <x:si>
    <x:t xml:space="preserve">UT26-TC008</x:t>
  </x:si>
  <x:si>
    <x:t xml:space="preserve">10 / COMPLETED มีรีวิวแล้ว</x:t>
  </x:si>
  <x:si>
    <x:t xml:space="preserve">(I3) ConflictException</x:t>
  </x:si>
  <x:si>
    <x:t xml:space="preserve">UT26-TC009</x:t>
  </x:si>
  <x:si>
    <x:t xml:space="preserve">overallRating = null</x:t>
  </x:si>
  <x:si>
    <x:t xml:space="preserve">(I4) ValidationException</x:t>
  </x:si>
  <x:si>
    <x:t xml:space="preserve">C1: พบผู้ใช้จาก identifier</x:t>
  </x:si>
  <x:si>
    <x:t xml:space="preserve">C2: isActive = true</x:t>
  </x:si>
  <x:si>
    <x:t xml:space="preserve">C3: รหัสผ่านถูกต้อง</x:t>
  </x:si>
  <x:si>
    <x:t xml:space="preserve">A1: BusinessException 401 "อีเมลหรือรหัสผ่านไม่ถูกต้อง"</x:t>
  </x:si>
  <x:si>
    <x:t xml:space="preserve">A2: BusinessException 401 "บัญชีนี้ถูกระงับ..."</x:t>
  </x:si>
  <x:si>
    <x:t xml:space="preserve">A3: ตั้ง lastLoginAt, save, คืน token + role</x:t>
  </x:si>
  <x:si>
    <x:t xml:space="preserve">AuthServiceImpl.login</x:t>
  </x:si>
  <x:si>
    <x:t xml:space="preserve">AuthResponseDTO login(LoginRequestDTO request) → ค้นหาด้วย email → username → เบอร์โทร</x:t>
  </x:si>
  <x:si>
    <x:t xml:space="preserve">UC-02 • SRS 7.4 (BCrypt, JWT)</x:t>
  </x:si>
  <x:si>
    <x:t xml:space="preserve">identifier</x:t>
  </x:si>
  <x:si>
    <x:t xml:space="preserve">password</x:t>
  </x:si>
  <x:si>
    <x:t xml:space="preserve">สภาพบัญชี</x:t>
  </x:si>
  <x:si>
    <x:t xml:space="preserve">UT27-TC001</x:t>
  </x:si>
  <x:si>
    <x:t xml:space="preserve">nobody@test.com</x:t>
  </x:si>
  <x:si>
    <x:t xml:space="preserve">x</x:t>
  </x:si>
  <x:si>
    <x:t xml:space="preserve">BusinessException 401 "อีเมลหรือรหัสผ่านไม่ถูกต้อง"</x:t>
  </x:si>
  <x:si>
    <x:t xml:space="preserve">UT27-TC002</x:t>
  </x:si>
  <x:si>
    <x:t xml:space="preserve">customer@test.com</x:t>
  </x:si>
  <x:si>
    <x:t xml:space="preserve">customer1234</x:t>
  </x:si>
  <x:si>
    <x:t xml:space="preserve">isActive = false</x:t>
  </x:si>
  <x:si>
    <x:t xml:space="preserve">BusinessException 401 "บัญชีนี้ถูกระงับการใช้งาน..." • ไม่ตรวจรหัสผ่าน</x:t>
  </x:si>
  <x:si>
    <x:t xml:space="preserve">UT27-TC003</x:t>
  </x:si>
  <x:si>
    <x:t xml:space="preserve">wrong</x:t>
  </x:si>
  <x:si>
    <x:t xml:space="preserve">active</x:t>
  </x:si>
  <x:si>
    <x:t xml:space="preserve">BusinessException 401 "อีเมลหรือรหัสผ่านไม่ถูกต้อง" • lastLoginAt ไม่เปลี่ยน</x:t>
  </x:si>
  <x:si>
    <x:t xml:space="preserve">UT27-TC004</x:t>
  </x:si>
  <x:si>
    <x:t xml:space="preserve">สำเร็จ: token จาก JwtTokenProvider, role = CUSTOMER, lastLoginAt ถูกตั้ง, save 1 ครั้ง</x:t>
  </x:si>
  <x:si>
    <x:t xml:space="preserve">UT27-TC005</x:t>
  </x:si>
  <x:si>
    <x:t xml:space="preserve">customer</x:t>
  </x:si>
  <x:si>
    <x:t xml:space="preserve">active (ค้นด้วย username)</x:t>
  </x:si>
  <x:si>
    <x:t xml:space="preserve">สำเร็จ (findByEmail ว่าง → findByUsername)</x:t>
  </x:si>
  <x:si>
    <x:t xml:space="preserve">UT27-TC006</x:t>
  </x:si>
  <x:si>
    <x:t xml:space="preserve">081-000-3333</x:t>
  </x:si>
  <x:si>
    <x:t xml:space="preserve">active (ค้นด้วยเบอร์)</x:t>
  </x:si>
  <x:si>
    <x:t xml:space="preserve">สำเร็จ (ค้นถึง findByPhoneNumber)</x:t>
  </x:si>
  <x:si>
    <x:t xml:space="preserve">UT27-TC007</x:t>
  </x:si>
  <x:si>
    <x:t xml:space="preserve">"  customer@test.com  "</x:t>
  </x:si>
  <x:si>
    <x:t xml:space="preserve">สำเร็จ (identifier ถูก trim)</x:t>
  </x:si>
  <x:si>
    <x:t xml:space="preserve">อีเมลและเบอร์ไม่ซ้ำ</x:t>
  </x:si>
  <x:si>
    <x:t xml:space="preserve">อีเมลซ้ำ</x:t>
  </x:si>
  <x:si>
    <x:t xml:space="preserve">ข้อมูลมีช่องว่างหน้า/หลัง → trim</x:t>
  </x:si>
  <x:si>
    <x:t xml:space="preserve">เบอร์โทรซ้ำ</x:t>
  </x:si>
  <x:si>
    <x:t xml:space="preserve">ซ้ำทั้งคู่ → แจ้งเรื่องอีเมลก่อน</x:t>
  </x:si>
  <x:si>
    <x:t xml:space="preserve">AuthServiceImpl.register</x:t>
  </x:si>
  <x:si>
    <x:t xml:space="preserve">AuthResponseDTO register(RegisterRequestDTO request)</x:t>
  </x:si>
  <x:si>
    <x:t xml:space="preserve">UC-01</x:t>
  </x:si>
  <x:si>
    <x:t xml:space="preserve">email</x:t>
  </x:si>
  <x:si>
    <x:t xml:space="preserve">phoneNumber</x:t>
  </x:si>
  <x:si>
    <x:t xml:space="preserve">UT28-TC001</x:t>
  </x:si>
  <x:si>
    <x:t xml:space="preserve">new@test.com</x:t>
  </x:si>
  <x:si>
    <x:t xml:space="preserve">0812223333</x:t>
  </x:si>
  <x:si>
    <x:t xml:space="preserve">ไม่ซ้ำ</x:t>
  </x:si>
  <x:si>
    <x:t xml:space="preserve">(V1) save Customer: role CUSTOMER, username = email, passwordHash = "hashed" (ไม่เก็บรหัสจริง) • คืน token</x:t>
  </x:si>
  <x:si>
    <x:t xml:space="preserve">save Customer: role CUSTOMER, username = email, passwordHash = "hashed"</x:t>
  </x:si>
  <x:si>
    <x:t xml:space="preserve">UT28-TC002</x:t>
  </x:si>
  <x:si>
    <x:t xml:space="preserve">" new@test.com "</x:t>
  </x:si>
  <x:si>
    <x:t xml:space="preserve">" 0812223333 "</x:t>
  </x:si>
  <x:si>
    <x:t xml:space="preserve">(V2) email และ phone ถูก trim</x:t>
  </x:si>
  <x:si>
    <x:t xml:space="preserve">email และ phone ถูก trim</x:t>
  </x:si>
  <x:si>
    <x:t xml:space="preserve">UT28-TC003</x:t>
  </x:si>
  <x:si>
    <x:t xml:space="preserve">อีเมลมีแล้ว</x:t>
  </x:si>
  <x:si>
    <x:t xml:space="preserve">(I1) ConflictException "อีเมลนี้ถูกใช้งานแล้ว..." • ไม่ save</x:t>
  </x:si>
  <x:si>
    <x:t xml:space="preserve">UT28-TC004</x:t>
  </x:si>
  <x:si>
    <x:t xml:space="preserve">เบอร์มีแล้ว</x:t>
  </x:si>
  <x:si>
    <x:t xml:space="preserve">(I2) ConflictException "เบอร์โทรศัพท์นี้ถูกใช้งานแล้ว..."</x:t>
  </x:si>
  <x:si>
    <x:t xml:space="preserve">UT28-TC005</x:t>
  </x:si>
  <x:si>
    <x:t xml:space="preserve">ซ้ำทั้งคู่</x:t>
  </x:si>
  <x:si>
    <x:t xml:space="preserve">(I3) ConflictException เรื่องอีเมล</x:t>
  </x:si>
  <x:si>
    <x:t xml:space="preserve">C1: พบผู้ใช้</x:t>
  </x:si>
  <x:si>
    <x:t xml:space="preserve">C2: อีเมลซ้ำกับคนอื่น</x:t>
  </x:si>
  <x:si>
    <x:t xml:space="preserve">C3: เบอร์ซ้ำกับคนอื่น</x:t>
  </x:si>
  <x:si>
    <x:t xml:space="preserve">C4: ส่ง newPassword</x:t>
  </x:si>
  <x:si>
    <x:t xml:space="preserve">C5: currentPassword ถูกต้อง</x:t>
  </x:si>
  <x:si>
    <x:t xml:space="preserve">C6: ผู้ใช้เป็น Customer</x:t>
  </x:si>
  <x:si>
    <x:t xml:space="preserve">A1: NotFoundException</x:t>
  </x:si>
  <x:si>
    <x:t xml:space="preserve">A2: ConflictException</x:t>
  </x:si>
  <x:si>
    <x:t xml:space="preserve">A3: ValidationException รหัสผ่านปัจจุบันไม่ถูกต้อง</x:t>
  </x:si>
  <x:si>
    <x:t xml:space="preserve">A4: เปลี่ยน passwordHash</x:t>
  </x:si>
  <x:si>
    <x:t xml:space="preserve">A5: บันทึกชื่อ/อีเมล/เบอร์ (trim)</x:t>
  </x:si>
  <x:si>
    <x:t xml:space="preserve">A6: บันทึก healthNotes, preferredPressure</x:t>
  </x:si>
  <x:si>
    <x:t xml:space="preserve">UserServiceImpl.updateProfile</x:t>
  </x:si>
  <x:si>
    <x:t xml:space="preserve">UserResponseDTO updateProfile(Long userId, UpdateProfileRequestDTO request)</x:t>
  </x:si>
  <x:si>
    <x:t xml:space="preserve">SRS 3.4 (หน้าโปรไฟล์) • BR-SEC-01</x:t>
  </x:si>
  <x:si>
    <x:t xml:space="preserve">userId</x:t>
  </x:si>
  <x:si>
    <x:t xml:space="preserve">UT29-TC001</x:t>
  </x:si>
  <x:si>
    <x:t xml:space="preserve">ข้อมูลปกติ</x:t>
  </x:si>
  <x:si>
    <x:t xml:space="preserve">UT29-TC002</x:t>
  </x:si>
  <x:si>
    <x:t xml:space="preserve">email = owner@fiwdee...</x:t>
  </x:si>
  <x:si>
    <x:t xml:space="preserve">อีเมลเป็นของ user#60</x:t>
  </x:si>
  <x:si>
    <x:t xml:space="preserve">ConflictException อีเมลซ้ำ • ไม่ save</x:t>
  </x:si>
  <x:si>
    <x:t xml:space="preserve">UT29-TC003</x:t>
  </x:si>
  <x:si>
    <x:t xml:space="preserve">phone ซ้ำ</x:t>
  </x:si>
  <x:si>
    <x:t xml:space="preserve">เบอร์เป็นของ user#50</x:t>
  </x:si>
  <x:si>
    <x:t xml:space="preserve">ConflictException เบอร์ซ้ำ</x:t>
  </x:si>
  <x:si>
    <x:t xml:space="preserve">UT29-TC004</x:t>
  </x:si>
  <x:si>
    <x:t xml:space="preserve">new = "newpass123", current = "wrong"</x:t>
  </x:si>
  <x:si>
    <x:t xml:space="preserve">ValidationException "รหัสผ่านปัจจุบันไม่ถูกต้อง"</x:t>
  </x:si>
  <x:si>
    <x:t xml:space="preserve">UT29-TC005</x:t>
  </x:si>
  <x:si>
    <x:t xml:space="preserve">new = "newpass123", current = ""</x:t>
  </x:si>
  <x:si>
    <x:t xml:space="preserve">UT29-TC006</x:t>
  </x:si>
  <x:si>
    <x:t xml:space="preserve">new = "newpass123", current = "customer1234"</x:t>
  </x:si>
  <x:si>
    <x:t xml:space="preserve">passwordHash = encode("newpass123") • save</x:t>
  </x:si>
  <x:si>
    <x:t xml:space="preserve">UT29-TC007</x:t>
  </x:si>
  <x:si>
    <x:t xml:space="preserve">1 (Customer)</x:t>
  </x:si>
  <x:si>
    <x:t xml:space="preserve">ไม่ส่ง newPassword, healthNotes = "ความดันสูง"</x:t>
  </x:si>
  <x:si>
    <x:t xml:space="preserve">passwordHash ไม่เปลี่ยน, healthNotes ถูกบันทึก</x:t>
  </x:si>
  <x:si>
    <x:t xml:space="preserve">UT29-TC008</x:t>
  </x:si>
  <x:si>
    <x:t xml:space="preserve">50 (Receptionist)</x:t>
  </x:si>
  <x:si>
    <x:t xml:space="preserve">fullName = "  สมใจ  "</x:t>
  </x:si>
  <x:si>
    <x:t xml:space="preserve">fullName = "สมใจ" • ไม่มี field ของลูกค้า</x:t>
  </x:si>
  <x:si>
    <x:t xml:space="preserve">เวลาหลัง touch ล่าสุด</x:t>
  </x:si>
  <x:si>
    <x:t xml:space="preserve">0:00</x:t>
  </x:si>
  <x:si>
    <x:t xml:space="preserve">UserSessionServiceImpl – สถานะออนไลน์ (หน้าต่าง 15 นาที)</x:t>
  </x:si>
  <x:si>
    <x:t xml:space="preserve">5:00</x:t>
  </x:si>
  <x:si>
    <x:t xml:space="preserve">touch(userId), isOnline(userId), getSessionStart(userId) → expired เมื่อ Duration.toMinutes() ≥ 15</x:t>
  </x:si>
  <x:si>
    <x:t xml:space="preserve">TASKS 2.14 (online window 15 นาที)</x:t>
  </x:si>
  <x:si>
    <x:t xml:space="preserve">เวลาหลัง touch ล่าสุด (นาที:วินาที)</x:t>
  </x:si>
  <x:si>
    <x:t xml:space="preserve">เหตุการณ์</x:t>
  </x:si>
  <x:si>
    <x:t xml:space="preserve">UT30-TC001</x:t>
  </x:si>
  <x:si>
    <x:t xml:space="preserve">touch แล้วเช็กทันที</x:t>
  </x:si>
  <x:si>
    <x:t xml:space="preserve">isOnline = true, getSessionStart = เวลา touch แรก</x:t>
  </x:si>
  <x:si>
    <x:t xml:space="preserve">UT30-TC002</x:t>
  </x:si>
  <x:si>
    <x:t xml:space="preserve">isOnline = true</x:t>
  </x:si>
  <x:si>
    <x:t xml:space="preserve">UT30-TC003</x:t>
  </x:si>
  <x:si>
    <x:t xml:space="preserve">UT30-TC004</x:t>
  </x:si>
  <x:si>
    <x:t xml:space="preserve">isOnline = false, getSessionStart = null</x:t>
  </x:si>
  <x:si>
    <x:t xml:space="preserve">UT30-TC005</x:t>
  </x:si>
  <x:si>
    <x:t xml:space="preserve">isOnline = false</x:t>
  </x:si>
  <x:si>
    <x:t xml:space="preserve">UT30-TC006</x:t>
  </x:si>
  <x:si>
    <x:t xml:space="preserve">ไม่เคย touch</x:t>
  </x:si>
  <x:si>
    <x:t xml:space="preserve">UT30-TC007</x:t>
  </x:si>
  <x:si>
    <x:t xml:space="preserve">2:00</x:t>
  </x:si>
  <x:si>
    <x:t xml:space="preserve">endSession แล้วเช็ก</x:t>
  </x:si>
  <x:si>
    <x:t xml:space="preserve">UT30-TC008</x:t>
  </x:si>
  <x:si>
    <x:t xml:space="preserve">20:00</x:t>
  </x:si>
  <x:si>
    <x:t xml:space="preserve">touch ใหม่หลังหมดอายุ</x:t>
  </x:si>
  <x:si>
    <x:t xml:space="preserve">isOnline = true และ getSessionStart = เวลา touch ใหม่ (เริ่ม session ใหม่)</x:t>
  </x:si>
  <x:si>
    <x:t xml:space="preserve">token ที่ระบบออกให้และยังไม่หมดอายุ</x:t>
  </x:si>
  <x:si>
    <x:t xml:space="preserve">หมดอายุ (expiration-ms = -1000)</x:t>
  </x:si>
  <x:si>
    <x:t xml:space="preserve">payload ถูกแก้</x:t>
  </x:si>
  <x:si>
    <x:t xml:space="preserve">เซ็นด้วย key อื่น</x:t>
  </x:si>
  <x:si>
    <x:t xml:space="preserve">รูปแบบผิด เช่น "abc"</x:t>
  </x:si>
  <x:si>
    <x:t xml:space="preserve">null หรือ ""</x:t>
  </x:si>
  <x:si>
    <x:t xml:space="preserve">JwtTokenProvider</x:t>
  </x:si>
  <x:si>
    <x:t xml:space="preserve">generateToken(User) • validateToken(String) • getUsernameFromToken(String)</x:t>
  </x:si>
  <x:si>
    <x:t xml:space="preserve">SRS 7.4 (JWT Bearer Token)</x:t>
  </x:si>
  <x:si>
    <x:t xml:space="preserve">token</x:t>
  </x:si>
  <x:si>
    <x:t xml:space="preserve">UT31-TC001</x:t>
  </x:si>
  <x:si>
    <x:t xml:space="preserve">generateToken(customer)</x:t>
  </x:si>
  <x:si>
    <x:t xml:space="preserve">validateToken</x:t>
  </x:si>
  <x:si>
    <x:t xml:space="preserve">(V1) true</x:t>
  </x:si>
  <x:si>
    <x:t xml:space="preserve">UT31-TC002</x:t>
  </x:si>
  <x:si>
    <x:t xml:space="preserve">getUsernameFromToken</x:t>
  </x:si>
  <x:si>
    <x:t xml:space="preserve">(V1) ค่าเท่ากับ user.getUsername()</x:t>
  </x:si>
  <x:si>
    <x:t xml:space="preserve">ค่าเท่ากับ user.getUsername()</x:t>
  </x:si>
  <x:si>
    <x:t xml:space="preserve">UT31-TC003</x:t>
  </x:si>
  <x:si>
    <x:t xml:space="preserve">token ที่ expiration-ms = -1000</x:t>
  </x:si>
  <x:si>
    <x:t xml:space="preserve">(I1) false ไม่โยน Exception</x:t>
  </x:si>
  <x:si>
    <x:t xml:space="preserve">false ไม่โยน Exception</x:t>
  </x:si>
  <x:si>
    <x:t xml:space="preserve">UT31-TC004</x:t>
  </x:si>
  <x:si>
    <x:t xml:space="preserve">แก้ตัวอักษรใน payload</x:t>
  </x:si>
  <x:si>
    <x:t xml:space="preserve">(I2) false</x:t>
  </x:si>
  <x:si>
    <x:t xml:space="preserve">UT31-TC005</x:t>
  </x:si>
  <x:si>
    <x:t xml:space="preserve">token จาก provider ที่ใช้ secret อื่น</x:t>
  </x:si>
  <x:si>
    <x:t xml:space="preserve">UT31-TC006</x:t>
  </x:si>
  <x:si>
    <x:t xml:space="preserve">"abc"</x:t>
  </x:si>
  <x:si>
    <x:t xml:space="preserve">UT31-TC007</x:t>
  </x:si>
  <x:si>
    <x:t xml:space="preserve">null และ ""</x:t>
  </x:si>
  <x:si>
    <x:t xml:space="preserve">(I5) false</x:t>
  </x:si>
  <x:si>
    <x:t xml:space="preserve">เลขห้องใหม่ไม่ซ้ำ</x:t>
  </x:si>
  <x:si>
    <x:t xml:space="preserve">เลขห้องซ้ำ (ต่างตัวพิมพ์)</x:t>
  </x:si>
  <x:si>
    <x:t xml:space="preserve">แก้ไขห้องโดยใช้เลขเดิมของตัวเอง</x:t>
  </x:si>
  <x:si>
    <x:t xml:space="preserve">แก้เป็นเลขของห้องอื่น</x:t>
  </x:si>
  <x:si>
    <x:t xml:space="preserve">ลบ = ปิดใช้งาน</x:t>
  </x:si>
  <x:si>
    <x:t xml:space="preserve">id ไม่มีอยู่</x:t>
  </x:si>
  <x:si>
    <x:t xml:space="preserve">getRooms(activeOnly = true)</x:t>
  </x:si>
  <x:si>
    <x:t xml:space="preserve">RoomServiceImpl</x:t>
  </x:si>
  <x:si>
    <x:t xml:space="preserve">createRoom, updateRoom, deleteRoom, getRooms</x:t>
  </x:si>
  <x:si>
    <x:t xml:space="preserve">UC-24 • BR-RES-01</x:t>
  </x:si>
  <x:si>
    <x:t xml:space="preserve">UT32-TC001</x:t>
  </x:si>
  <x:si>
    <x:t xml:space="preserve">createRoom</x:t>
  </x:si>
  <x:si>
    <x:t xml:space="preserve">" R104 ", SINGLE, 1, 15</x:t>
  </x:si>
  <x:si>
    <x:t xml:space="preserve">(V1) save: roomNumber "R104", AVAILABLE, isActive true</x:t>
  </x:si>
  <x:si>
    <x:t xml:space="preserve">save: roomNumber "R104", AVAILABLE, isActive true</x:t>
  </x:si>
  <x:si>
    <x:t xml:space="preserve">UT32-TC002</x:t>
  </x:si>
  <x:si>
    <x:t xml:space="preserve">updateRoom(101)</x:t>
  </x:si>
  <x:si>
    <x:t xml:space="preserve">"R101", VIP, 2, 20</x:t>
  </x:si>
  <x:si>
    <x:t xml:space="preserve">(V2) สำเร็จ roomType VIP</x:t>
  </x:si>
  <x:si>
    <x:t xml:space="preserve">สำเร็จ roomType VIP</x:t>
  </x:si>
  <x:si>
    <x:t xml:space="preserve">UT32-TC003</x:t>
  </x:si>
  <x:si>
    <x:t xml:space="preserve">deleteRoom(102)</x:t>
  </x:si>
  <x:si>
    <x:t xml:space="preserve">(V3) isActive = false และ save (ไม่ลบจริง)</x:t>
  </x:si>
  <x:si>
    <x:t xml:space="preserve">isActive = false และ save</x:t>
  </x:si>
  <x:si>
    <x:t xml:space="preserve">UT32-TC004</x:t>
  </x:si>
  <x:si>
    <x:t xml:space="preserve">getRooms(true)</x:t>
  </x:si>
  <x:si>
    <x:t xml:space="preserve">(V4) เรียก findByIsActiveTrue ไม่เรียก findAll</x:t>
  </x:si>
  <x:si>
    <x:t xml:space="preserve">เรียก findByIsActiveTrue ไม่เรียก findAl</x:t>
  </x:si>
  <x:si>
    <x:t xml:space="preserve">UT32-TC005</x:t>
  </x:si>
  <x:si>
    <x:t xml:space="preserve">"r101"</x:t>
  </x:si>
  <x:si>
    <x:t xml:space="preserve">(I1) ConflictException "Room number already exists"</x:t>
  </x:si>
  <x:si>
    <x:t xml:space="preserve">UT32-TC006</x:t>
  </x:si>
  <x:si>
    <x:t xml:space="preserve">"R102"</x:t>
  </x:si>
  <x:si>
    <x:t xml:space="preserve">(I2) ConflictException</x:t>
  </x:si>
  <x:si>
    <x:t xml:space="preserve">UT32-TC007</x:t>
  </x:si>
  <x:si>
    <x:t xml:space="preserve">updateRoom(999) / deleteRoom(999)</x:t>
  </x:si>
  <x:si>
    <x:t xml:space="preserve">(I3) NotFoundException</x:t>
  </x:si>
  <x:si>
    <x:t xml:space="preserve">รหัสใหม่ + option อย่างน้อย 1 รายการ</x:t>
  </x:si>
  <x:si>
    <x:t xml:space="preserve">durationOptions ว่างหรือ null</x:t>
  </x:si>
  <x:si>
    <x:t xml:space="preserve">duration = 1 (ค่าบวกต่ำสุด)</x:t>
  </x:si>
  <x:si>
    <x:t xml:space="preserve">duration ≤ 0</x:t>
  </x:si>
  <x:si>
    <x:t xml:space="preserve">price = 0.00</x:t>
  </x:si>
  <x:si>
    <x:t xml:space="preserve">price &lt; 0</x:t>
  </x:si>
  <x:si>
    <x:t xml:space="preserve">update ด้วยรหัสเดิมของตัวเอง</x:t>
  </x:si>
  <x:si>
    <x:t xml:space="preserve">รหัสซ้ำ (ต่างตัวพิมพ์)</x:t>
  </x:si>
  <x:si>
    <x:t xml:space="preserve">getActiveService ของบริการที่ปิดอยู่</x:t>
  </x:si>
  <x:si>
    <x:t xml:space="preserve">ServiceCatalogServiceImpl</x:t>
  </x:si>
  <x:si>
    <x:t xml:space="preserve">Functional testing - Weak Robust Equivalence Class Testing (ใช้ค่าขอบเป็นตัวแทนคลาส)</x:t>
  </x:si>
  <x:si>
    <x:t xml:space="preserve">createService, updateService, getActiveService, deleteService</x:t>
  </x:si>
  <x:si>
    <x:t xml:space="preserve">UC-25 • SRS 6.3</x:t>
  </x:si>
  <x:si>
    <x:t xml:space="preserve">serviceCode</x:t>
  </x:si>
  <x:si>
    <x:t xml:space="preserve">durationOptions</x:t>
  </x:si>
  <x:si>
    <x:t xml:space="preserve">UT33-TC001</x:t>
  </x:si>
  <x:si>
    <x:t xml:space="preserve">createService</x:t>
  </x:si>
  <x:si>
    <x:t xml:space="preserve">AROMA-01</x:t>
  </x:si>
  <x:si>
    <x:t xml:space="preserve">[60/800]</x:t>
  </x:si>
  <x:si>
    <x:t xml:space="preserve">(V1) save, isActive true, option 1 รายการ active</x:t>
  </x:si>
  <x:si>
    <x:t xml:space="preserve">save, isActive true, option 1 รายการ active</x:t>
  </x:si>
  <x:si>
    <x:t xml:space="preserve">UT33-TC002</x:t>
  </x:si>
  <x:si>
    <x:t xml:space="preserve">AROMA-02</x:t>
  </x:si>
  <x:si>
    <x:t xml:space="preserve">[1/800]</x:t>
  </x:si>
  <x:si>
    <x:t xml:space="preserve">(V2) สำเร็จ</x:t>
  </x:si>
  <x:si>
    <x:t xml:space="preserve">UT33-TC003</x:t>
  </x:si>
  <x:si>
    <x:t xml:space="preserve">AROMA-03</x:t>
  </x:si>
  <x:si>
    <x:t xml:space="preserve">[60/0.00]</x:t>
  </x:si>
  <x:si>
    <x:t xml:space="preserve">(V3) สำเร็จ</x:t>
  </x:si>
  <x:si>
    <x:t xml:space="preserve">UT33-TC004</x:t>
  </x:si>
  <x:si>
    <x:t xml:space="preserve">updateService(1)</x:t>
  </x:si>
  <x:si>
    <x:t xml:space="preserve">thai-01</x:t>
  </x:si>
  <x:si>
    <x:t xml:space="preserve">[60/600, 90/850]</x:t>
  </x:si>
  <x:si>
    <x:t xml:space="preserve">(V4) สำเร็จ option ถูกแทนที่เป็น 2 รายการ</x:t>
  </x:si>
  <x:si>
    <x:t xml:space="preserve">UT33-TC005</x:t>
  </x:si>
  <x:si>
    <x:t xml:space="preserve">AROMA-04</x:t>
  </x:si>
  <x:si>
    <x:t xml:space="preserve">[] และ null</x:t>
  </x:si>
  <x:si>
    <x:t xml:space="preserve">(I1) ValidationException "At least one duration option is required"</x:t>
  </x:si>
  <x:si>
    <x:t xml:space="preserve">UT33-TC006</x:t>
  </x:si>
  <x:si>
    <x:t xml:space="preserve">AROMA-05</x:t>
  </x:si>
  <x:si>
    <x:t xml:space="preserve">[0/800] และ [-1/800]</x:t>
  </x:si>
  <x:si>
    <x:t xml:space="preserve">(I2) ValidationException</x:t>
  </x:si>
  <x:si>
    <x:t xml:space="preserve">UT33-TC007</x:t>
  </x:si>
  <x:si>
    <x:t xml:space="preserve">AROMA-06</x:t>
  </x:si>
  <x:si>
    <x:t xml:space="preserve">[60/-0.01]</x:t>
  </x:si>
  <x:si>
    <x:t xml:space="preserve">(I3) ValidationException</x:t>
  </x:si>
  <x:si>
    <x:t xml:space="preserve">UT33-TC008</x:t>
  </x:si>
  <x:si>
    <x:t xml:space="preserve">[60/600]</x:t>
  </x:si>
  <x:si>
    <x:t xml:space="preserve">(I4) ConflictException "Service code already exists"</x:t>
  </x:si>
  <x:si>
    <x:t xml:space="preserve">UT33-TC009</x:t>
  </x:si>
  <x:si>
    <x:t xml:space="preserve">getActiveService(3)</x:t>
  </x:si>
  <x:si>
    <x:t xml:space="preserve">บริการ 3 inactive</x:t>
  </x:si>
  <x:si>
    <x:t xml:space="preserve">ความยาวกะ (นาที)</x:t>
  </x:si>
  <x:si>
    <x:t xml:space="preserve">ช่องว่างระหว่างกะ (นาที)</x:t>
  </x:si>
  <x:si>
    <x:t xml:space="preserve">TherapistServiceImpl.updateSchedule – กะทำงาน</x:t>
  </x:si>
  <x:si>
    <x:t xml:space="preserve">480</x:t>
  </x:si>
  <x:si>
    <x:t xml:space="preserve">60</x:t>
  </x:si>
  <x:si>
    <x:t xml:space="preserve">updateSchedule(therapistId, request) → validateShifts: end &gt; start และกะต้องไม่ทับกัน</x:t>
  </x:si>
  <x:si>
    <x:t xml:space="preserve">UC-27 • SRS 6.4 (Work Shifts)</x:t>
  </x:si>
  <x:si>
    <x:t xml:space="preserve">dayOff</x:t>
  </x:si>
  <x:si>
    <x:t xml:space="preserve">shifts</x:t>
  </x:si>
  <x:si>
    <x:t xml:space="preserve">UT34-TC001</x:t>
  </x:si>
  <x:si>
    <x:t xml:space="preserve">[10:00–18:00]</x:t>
  </x:si>
  <x:si>
    <x:t xml:space="preserve">บันทึก 1 กะ ชื่อ "Shift", status ACTIVE (nom)</x:t>
  </x:si>
  <x:si>
    <x:t xml:space="preserve">บันทึก 1 กะ ชื่อ "Shift", status ACTIVE</x:t>
  </x:si>
  <x:si>
    <x:t xml:space="preserve">UT34-TC002</x:t>
  </x:si>
  <x:si>
    <x:t xml:space="preserve">[10:00–10:00]</x:t>
  </x:si>
  <x:si>
    <x:t xml:space="preserve">ValidationException "Shift end time must be after start time"</x:t>
  </x:si>
  <x:si>
    <x:t xml:space="preserve">UT34-TC003</x:t>
  </x:si>
  <x:si>
    <x:t xml:space="preserve">[10:00–10:01]</x:t>
  </x:si>
  <x:si>
    <x:t xml:space="preserve">UT34-TC004</x:t>
  </x:si>
  <x:si>
    <x:t xml:space="preserve">[10:00–10:02]</x:t>
  </x:si>
  <x:si>
    <x:t xml:space="preserve">UT34-TC005</x:t>
  </x:si>
  <x:si>
    <x:t xml:space="preserve">[10:00–14:00, 13:59–18:00]</x:t>
  </x:si>
  <x:si>
    <x:t xml:space="preserve">ValidationException "Work shifts must not overlap"</x:t>
  </x:si>
  <x:si>
    <x:t xml:space="preserve">UT34-TC006</x:t>
  </x:si>
  <x:si>
    <x:t xml:space="preserve">[10:00–14:00, 14:00–18:00]</x:t>
  </x:si>
  <x:si>
    <x:t xml:space="preserve">บันทึก 2 กะ</x:t>
  </x:si>
  <x:si>
    <x:t xml:space="preserve">UT34-TC007</x:t>
  </x:si>
  <x:si>
    <x:t xml:space="preserve">[10:00–14:00, 14:01–18:00]</x:t>
  </x:si>
  <x:si>
    <x:t xml:space="preserve">UT34-TC008</x:t>
  </x:si>
  <x:si>
    <x:t xml:space="preserve">[15:00–18:00, 10:00–14:00] (ไม่เรียงเวลา)</x:t>
  </x:si>
  <x:si>
    <x:t xml:space="preserve">บันทึกสำเร็จ (โค้ดเรียงก่อนตรวจ)</x:t>
  </x:si>
  <x:si>
    <x:t xml:space="preserve">UT34-TC009</x:t>
  </x:si>
  <x:si>
    <x:t xml:space="preserve">ValidationException "Day-off schedules cannot contain work shifts"</x:t>
  </x:si>
  <x:si>
    <x:t xml:space="preserve">UT34-TC010</x:t>
  </x:si>
  <x:si>
    <x:t xml:space="preserve">[]</x:t>
  </x:si>
  <x:si>
    <x:t xml:space="preserve">บันทึกวันหยุด ไม่มีกะ</x:t>
  </x:si>
  <x:si>
    <x:t xml:space="preserve">closeTime − openTime (นาที)</x:t>
  </x:si>
  <x:si>
    <x:t xml:space="preserve">ShopServiceImpl.updateShop – เวลาเปิด–ปิด</x:t>
  </x:si>
  <x:si>
    <x:t xml:space="preserve">updateShop(request) : ถ้าไม่ปิด closeTime ต้องหลัง openTime, วันห้ามซ้ำ, ต้องมีอย่างน้อย 1 วัน</x:t>
  </x:si>
  <x:si>
    <x:t xml:space="preserve">UC-23 / SRS 6 (เวลาทำการ) • BR-BKG-02</x:t>
  </x:si>
  <x:si>
    <x:t xml:space="preserve">businessHours</x:t>
  </x:si>
  <x:si>
    <x:t xml:space="preserve">closed</x:t>
  </x:si>
  <x:si>
    <x:t xml:space="preserve">UT35-TC001</x:t>
  </x:si>
  <x:si>
    <x:t xml:space="preserve">MONDAY 10:00–22:00</x:t>
  </x:si>
  <x:si>
    <x:t xml:space="preserve">บันทึกสำเร็จ (nom)</x:t>
  </x:si>
  <x:si>
    <x:t xml:space="preserve">UT35-TC002</x:t>
  </x:si>
  <x:si>
    <x:t xml:space="preserve">MONDAY 10:00–09:59</x:t>
  </x:si>
  <x:si>
    <x:t xml:space="preserve">ValidationException "Closing time must be after opening time"</x:t>
  </x:si>
  <x:si>
    <x:t xml:space="preserve">UT35-TC003</x:t>
  </x:si>
  <x:si>
    <x:t xml:space="preserve">MONDAY 10:00–10:00</x:t>
  </x:si>
  <x:si>
    <x:t xml:space="preserve">UT35-TC004</x:t>
  </x:si>
  <x:si>
    <x:t xml:space="preserve">MONDAY 10:00–10:01</x:t>
  </x:si>
  <x:si>
    <x:t xml:space="preserve">UT35-TC005</x:t>
  </x:si>
  <x:si>
    <x:t xml:space="preserve">SUNDAY 10:00–09:00</x:t>
  </x:si>
  <x:si>
    <x:t xml:space="preserve">บันทึกสำเร็จ (วันปิดไม่ตรวจเวลา)</x:t>
  </x:si>
  <x:si>
    <x:t xml:space="preserve">UT35-TC006</x:t>
  </x:si>
  <x:si>
    <x:t xml:space="preserve">MONDAY 2 แถว</x:t>
  </x:si>
  <x:si>
    <x:t xml:space="preserve">ValidationException "Duplicate business hours day: MONDAY"</x:t>
  </x:si>
  <x:si>
    <x:t xml:space="preserve">UT35-TC007</x:t>
  </x:si>
  <x:si>
    <x:t xml:space="preserve">[] (ว่าง)</x:t>
  </x:si>
  <x:si>
    <x:t xml:space="preserve">ValidationException "Business hours for the week are required"</x:t>
  </x:si>
  <x:si>
    <x:t xml:space="preserve">UT35-TC008</x:t>
  </x:si>
  <x:si>
    <x:t xml:space="preserve">ไม่มีร้าน active</x:t>
  </x:si>
  <x:si>
    <x:t xml:space="preserve">end − start (วัน)</x:t>
  </x:si>
  <x:si>
    <x:t xml:space="preserve">refundedAt เทียบขอบล่าง</x:t>
  </x:si>
  <x:si>
    <x:t xml:space="preserve">refundedAt เทียบขอบบน</x:t>
  </x:si>
  <x:si>
    <x:t xml:space="preserve">31/10 23:59:59.999999999</x:t>
  </x:si>
  <x:si>
    <x:t xml:space="preserve">30/11 23:59:59.999999998</x:t>
  </x:si>
  <x:si>
    <x:t xml:space="preserve">ReportServiceImpl.getRevenueReport – ช่วงวันที่</x:t>
  </x:si>
  <x:si>
    <x:t xml:space="preserve">01/11 00:00</x:t>
  </x:si>
  <x:si>
    <x:t xml:space="preserve">30/11 23:59:59.999999999</x:t>
  </x:si>
  <x:si>
    <x:t xml:space="preserve">01/11 00:00:00.000000001</x:t>
  </x:si>
  <x:si>
    <x:t xml:space="preserve">01/12 00:00</x:t>
  </x:si>
  <x:si>
    <x:t xml:space="preserve">RevenueReportDTO getRevenueReport(LocalDate startDate, LocalDate endDate)</x:t>
  </x:si>
  <x:si>
    <x:t xml:space="preserve">UC-22 • TASKS 3.1</x:t>
  </x:si>
  <x:si>
    <x:t xml:space="preserve">startDate</x:t>
  </x:si>
  <x:si>
    <x:t xml:space="preserve">endDate</x:t>
  </x:si>
  <x:si>
    <x:t xml:space="preserve">refundedAt</x:t>
  </x:si>
  <x:si>
    <x:t xml:space="preserve">UT36-TC001</x:t>
  </x:si>
  <x:si>
    <x:t xml:space="preserve">2026-11-02</x:t>
  </x:si>
  <x:si>
    <x:t xml:space="preserve">2026-11-01</x:t>
  </x:si>
  <x:si>
    <x:t xml:space="preserve">ValidationException "Start date must be before or equal to end date"</x:t>
  </x:si>
  <x:si>
    <x:t xml:space="preserve">UT36-TC002</x:t>
  </x:si>
  <x:si>
    <x:t xml:space="preserve">สำเร็จ (ช่วง 1 วัน)</x:t>
  </x:si>
  <x:si>
    <x:t xml:space="preserve">UT36-TC003</x:t>
  </x:si>
  <x:si>
    <x:t xml:space="preserve">UT36-TC004</x:t>
  </x:si>
  <x:si>
    <x:t xml:space="preserve">2026-11-30</x:t>
  </x:si>
  <x:si>
    <x:t xml:space="preserve">refundedTotal = 0 (นอกช่วง)</x:t>
  </x:si>
  <x:si>
    <x:t xml:space="preserve">refundedTotal = 0</x:t>
  </x:si>
  <x:si>
    <x:t xml:space="preserve">UT36-TC005</x:t>
  </x:si>
  <x:si>
    <x:t xml:space="preserve">refundedTotal = 100.00</x:t>
  </x:si>
  <x:si>
    <x:t xml:space="preserve">UT36-TC006</x:t>
  </x:si>
  <x:si>
    <x:t xml:space="preserve">UT36-TC007</x:t>
  </x:si>
  <x:si>
    <x:t xml:space="preserve">UT36-TC008</x:t>
  </x:si>
  <x:si>
    <x:t xml:space="preserve">UT36-TC009</x:t>
  </x:si>
  <x:si>
    <x:t xml:space="preserve">UT36-TC010</x:t>
  </x:si>
  <x:si>
    <x:t xml:space="preserve">ValidationException "Start date and end date must not be null"</x:t>
  </x:si>
</x:sst>
</file>

<file path=xl/styles.xml><?xml version="1.0" encoding="utf-8"?>
<x:styleSheet xmlns:x="http://schemas.openxmlformats.org/spreadsheetml/2006/main">
  <x:fonts count="11">
    <x:font>
      <x:sz val="11"/>
      <x:color theme="1"/>
      <x:name val="Aptos Narrow"/>
      <x:family val="2"/>
      <x:scheme val="minor"/>
    </x:font>
    <x:font>
      <x:b/>
      <x:sz val="16"/>
      <x:name val="TH SarabunPSK"/>
      <x:family val="2"/>
    </x:font>
    <x:font>
      <x:sz val="11"/>
      <x:color theme="1"/>
      <x:name val="TH SarabunPSK"/>
      <x:family val="2"/>
    </x:font>
    <x:font>
      <x:sz val="16"/>
      <x:name val="TH SarabunPSK"/>
      <x:family val="2"/>
    </x:font>
    <x:font>
      <x:b/>
      <x:sz val="16"/>
      <x:color rgb="FFFFFFFF"/>
      <x:name val="TH SarabunPSK"/>
      <x:family val="2"/>
    </x:font>
    <x:font>
      <x:b/>
      <x:sz val="18"/>
      <x:name val="TH SarabunPSK"/>
      <x:family val="2"/>
    </x:font>
    <x:font>
      <x:sz val="18"/>
      <x:color theme="1"/>
      <x:name val="TH SarabunPSK"/>
      <x:family val="2"/>
    </x:font>
    <x:font>
      <x:sz val="18"/>
      <x:name val="TH SarabunPSK"/>
      <x:family val="2"/>
    </x:font>
    <x:font>
      <x:i/>
      <x:sz val="18"/>
      <x:name val="TH SarabunPSK"/>
      <x:family val="2"/>
    </x:font>
    <x:font>
      <x:u val="single"/>
      <x:sz val="11"/>
      <x:color theme="10"/>
      <x:name val="Aptos Narrow"/>
      <x:family val="2"/>
      <x:scheme val="minor"/>
    </x:font>
    <x:font>
      <x:sz val="8"/>
      <x:name val="Aptos Narrow"/>
      <x:family val="2"/>
      <x:scheme val="minor"/>
    </x:font>
  </x:fonts>
  <x:fills count="12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E7E6E6"/>
      </x:patternFill>
    </x:fill>
    <x:fill>
      <x:patternFill patternType="solid">
        <x:fgColor rgb="FF1F5C7A"/>
      </x:patternFill>
    </x:fill>
    <x:fill>
      <x:patternFill patternType="solid">
        <x:fgColor rgb="FF92D050"/>
      </x:patternFill>
    </x:fill>
    <x:fill>
      <x:patternFill patternType="solid">
        <x:fgColor rgb="FFFF0000"/>
      </x:patternFill>
    </x:fill>
    <x:fill>
      <x:patternFill patternType="solid">
        <x:fgColor rgb="FFC6EFCE"/>
      </x:patternFill>
    </x:fill>
    <x:fill>
      <x:patternFill patternType="solid">
        <x:fgColor rgb="FFDBDBDB"/>
      </x:patternFill>
    </x:fill>
    <x:fill>
      <x:patternFill patternType="solid">
        <x:fgColor rgb="FFDDEBF7"/>
      </x:patternFill>
    </x:fill>
    <x:fill>
      <x:patternFill patternType="solid">
        <x:fgColor rgb="FFD9E1F2"/>
      </x:patternFill>
    </x:fill>
    <x:fill>
      <x:patternFill patternType="solid">
        <x:fgColor rgb="FFFFC000"/>
      </x:patternFill>
    </x:fill>
  </x:fills>
  <x:borders count="6">
    <x:border>
      <x:left/>
      <x:right/>
      <x:top/>
      <x:bottom/>
      <x:diagonal/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  <x:diagonal/>
    </x:border>
    <x:border>
      <x:left style="medium">
        <x:color auto="1"/>
      </x:left>
      <x:right style="medium">
        <x:color auto="1"/>
      </x:right>
      <x:top style="medium">
        <x:color auto="1"/>
      </x:top>
      <x:bottom style="medium">
        <x:color auto="1"/>
      </x:bottom>
      <x:diagonal/>
    </x:border>
    <x:border>
      <x:left style="thin">
        <x:color auto="1"/>
      </x:left>
      <x:right/>
      <x:top style="thin">
        <x:color auto="1"/>
      </x:top>
      <x:bottom style="thin">
        <x:color auto="1"/>
      </x:bottom>
      <x:diagonal/>
    </x:border>
    <x:border>
      <x:left/>
      <x:right/>
      <x:top style="thin">
        <x:color auto="1"/>
      </x:top>
      <x:bottom style="thin">
        <x:color auto="1"/>
      </x:bottom>
      <x:diagonal/>
    </x:border>
    <x:border>
      <x:left/>
      <x:right style="thin">
        <x:color auto="1"/>
      </x:right>
      <x:top style="thin">
        <x:color auto="1"/>
      </x:top>
      <x:bottom style="thin">
        <x:color auto="1"/>
      </x:bottom>
      <x:diagonal/>
    </x:border>
  </x:borders>
  <x:cellStyleXfs count="2">
    <x:xf numFmtId="0" fontId="0" fillId="0" borderId="0"/>
    <x:xf numFmtId="0" fontId="9" fillId="0" borderId="0" applyNumberFormat="0" applyFill="0" applyBorder="0" applyAlignment="0" applyProtection="0"/>
  </x:cellStyleXfs>
  <x:cellXfs count="42">
    <x:xf numFmtId="0" fontId="0" fillId="0" borderId="0" xfId="0"/>
    <x:xf numFmtId="0" fontId="2" fillId="0" borderId="0" xfId="0" applyFont="1"/>
    <x:xf numFmtId="0" fontId="1" fillId="2" borderId="1" xfId="0" applyFont="1" applyFill="1" applyBorder="1" applyAlignment="1">
      <x:alignment horizontal="center" vertical="center" wrapText="1"/>
    </x:xf>
    <x:xf numFmtId="0" fontId="3" fillId="0" borderId="1" xfId="0" applyFont="1" applyBorder="1" applyAlignment="1">
      <x:alignment horizontal="center" vertical="center" wrapText="1"/>
    </x:xf>
    <x:xf numFmtId="0" fontId="3" fillId="0" borderId="1" xfId="0" applyFont="1" applyBorder="1" applyAlignment="1">
      <x:alignment horizontal="left" vertical="top" wrapText="1"/>
    </x:xf>
    <x:xf numFmtId="0" fontId="1" fillId="0" borderId="1" xfId="0" applyFont="1" applyBorder="1" applyAlignment="1">
      <x:alignment horizontal="center" vertical="center" wrapText="1"/>
    </x:xf>
    <x:xf numFmtId="0" fontId="1" fillId="5" borderId="1" xfId="0" applyFont="1" applyFill="1" applyBorder="1" applyAlignment="1">
      <x:alignment horizontal="center" vertical="center" wrapText="1"/>
    </x:xf>
    <x:xf numFmtId="0" fontId="1" fillId="6" borderId="1" xfId="0" applyFont="1" applyFill="1" applyBorder="1" applyAlignment="1">
      <x:alignment horizontal="center" vertical="center" wrapText="1"/>
    </x:xf>
    <x:xf numFmtId="0" fontId="6" fillId="0" borderId="0" xfId="0" applyFont="1"/>
    <x:xf numFmtId="0" fontId="5" fillId="8" borderId="2" xfId="0" applyFont="1" applyFill="1" applyBorder="1" applyAlignment="1">
      <x:alignment horizontal="center" vertical="center" wrapText="1"/>
    </x:xf>
    <x:xf numFmtId="0" fontId="5" fillId="3" borderId="2" xfId="0" applyFont="1" applyFill="1" applyBorder="1" applyAlignment="1">
      <x:alignment horizontal="center" vertical="center" wrapText="1"/>
    </x:xf>
    <x:xf numFmtId="0" fontId="7" fillId="0" borderId="2" xfId="0" applyFont="1" applyBorder="1" applyAlignment="1">
      <x:alignment horizontal="center" vertical="center" wrapText="1"/>
    </x:xf>
    <x:xf numFmtId="0" fontId="5" fillId="0" borderId="1" xfId="0" applyFont="1" applyBorder="1" applyAlignment="1">
      <x:alignment horizontal="right" vertical="top" wrapText="1"/>
    </x:xf>
    <x:xf numFmtId="0" fontId="7" fillId="0" borderId="1" xfId="0" applyFont="1" applyBorder="1" applyAlignment="1">
      <x:alignment horizontal="left" vertical="top" wrapText="1"/>
    </x:xf>
    <x:xf numFmtId="0" fontId="7" fillId="9" borderId="1" xfId="0" applyFont="1" applyFill="1" applyBorder="1" applyAlignment="1">
      <x:alignment horizontal="left" vertical="top" wrapText="1"/>
    </x:xf>
    <x:xf numFmtId="0" fontId="5" fillId="0" borderId="1" xfId="0" applyFont="1" applyBorder="1" applyAlignment="1">
      <x:alignment horizontal="center" vertical="center" wrapText="1"/>
    </x:xf>
    <x:xf numFmtId="0" fontId="7" fillId="0" borderId="1" xfId="0" applyFont="1" applyBorder="1" applyAlignment="1">
      <x:alignment vertical="top"/>
    </x:xf>
    <x:xf numFmtId="0" fontId="7" fillId="0" borderId="1" xfId="0" applyFont="1" applyBorder="1" applyAlignment="1">
      <x:alignment horizontal="center" vertical="center" wrapText="1"/>
    </x:xf>
    <x:xf numFmtId="0" fontId="5" fillId="10" borderId="1" xfId="0" applyFont="1" applyFill="1" applyBorder="1" applyAlignment="1">
      <x:alignment horizontal="center" vertical="center" wrapText="1"/>
    </x:xf>
    <x:xf numFmtId="0" fontId="7" fillId="10" borderId="1" xfId="0" applyFont="1" applyFill="1" applyBorder="1" applyAlignment="1">
      <x:alignment horizontal="center" vertical="center" wrapText="1"/>
    </x:xf>
    <x:xf numFmtId="0" fontId="7" fillId="10" borderId="1" xfId="0" applyFont="1" applyFill="1" applyBorder="1" applyAlignment="1">
      <x:alignment horizontal="left" vertical="top" wrapText="1"/>
    </x:xf>
    <x:xf numFmtId="0" fontId="6" fillId="0" borderId="1" xfId="0" applyFont="1" applyBorder="1"/>
    <x:xf numFmtId="0" fontId="5" fillId="11" borderId="1" xfId="0" applyFont="1" applyFill="1" applyBorder="1" applyAlignment="1">
      <x:alignment horizontal="center" vertical="center" wrapText="1"/>
    </x:xf>
    <x:xf numFmtId="0" fontId="5" fillId="0" borderId="0" xfId="0" applyFont="1" applyAlignment="1">
      <x:alignment horizontal="left" vertical="top" wrapText="1"/>
    </x:xf>
    <x:xf numFmtId="0" fontId="9" fillId="0" borderId="1" xfId="1" applyBorder="1" applyAlignment="1">
      <x:alignment horizontal="left" vertical="top" wrapText="1"/>
    </x:xf>
    <x:xf numFmtId="0" fontId="4" fillId="4" borderId="1" xfId="0" applyFont="1" applyFill="1" applyBorder="1" applyAlignment="1">
      <x:alignment horizontal="center" vertical="center" wrapText="1"/>
    </x:xf>
    <x:xf numFmtId="0" fontId="1" fillId="0" borderId="0" xfId="0" applyFont="1" applyAlignment="1">
      <x:alignment horizontal="left" vertical="top" wrapText="1"/>
    </x:xf>
    <x:xf numFmtId="0" fontId="1" fillId="3" borderId="1" xfId="0" applyFont="1" applyFill="1" applyBorder="1" applyAlignment="1">
      <x:alignment horizontal="left" vertical="top" wrapText="1"/>
    </x:xf>
    <x:xf numFmtId="0" fontId="7" fillId="0" borderId="1" xfId="0" applyFont="1" applyBorder="1" applyAlignment="1">
      <x:alignment horizontal="left" vertical="top" wrapText="1"/>
    </x:xf>
    <x:xf numFmtId="0" fontId="5" fillId="0" borderId="1" xfId="0" applyFont="1" applyBorder="1" applyAlignment="1">
      <x:alignment horizontal="center" vertical="center" wrapText="1"/>
    </x:xf>
    <x:xf numFmtId="0" fontId="5" fillId="2" borderId="1" xfId="0" applyFont="1" applyFill="1" applyBorder="1" applyAlignment="1">
      <x:alignment horizontal="center" vertical="center" wrapText="1"/>
    </x:xf>
    <x:xf numFmtId="0" fontId="7" fillId="0" borderId="2" xfId="0" applyFont="1" applyBorder="1" applyAlignment="1">
      <x:alignment horizontal="left" vertical="top" wrapText="1"/>
    </x:xf>
    <x:xf numFmtId="0" fontId="5" fillId="7" borderId="0" xfId="0" applyFont="1" applyFill="1" applyAlignment="1">
      <x:alignment horizontal="center" vertical="center" wrapText="1"/>
    </x:xf>
    <x:xf numFmtId="0" fontId="5" fillId="8" borderId="2" xfId="0" applyFont="1" applyFill="1" applyBorder="1" applyAlignment="1">
      <x:alignment horizontal="center" vertical="center" wrapText="1"/>
    </x:xf>
    <x:xf numFmtId="0" fontId="5" fillId="3" borderId="2" xfId="0" applyFont="1" applyFill="1" applyBorder="1" applyAlignment="1">
      <x:alignment horizontal="center" vertical="center" wrapText="1"/>
    </x:xf>
    <x:xf numFmtId="0" fontId="8" fillId="0" borderId="0" xfId="0" applyFont="1" applyAlignment="1">
      <x:alignment horizontal="left" vertical="top" wrapText="1"/>
    </x:xf>
    <x:xf numFmtId="0" fontId="7" fillId="0" borderId="3" xfId="0" applyFont="1" applyBorder="1" applyAlignment="1">
      <x:alignment horizontal="left" vertical="top" wrapText="1"/>
    </x:xf>
    <x:xf numFmtId="0" fontId="7" fillId="0" borderId="4" xfId="0" applyFont="1" applyBorder="1" applyAlignment="1">
      <x:alignment horizontal="left" vertical="top" wrapText="1"/>
    </x:xf>
    <x:xf numFmtId="0" fontId="7" fillId="0" borderId="5" xfId="0" applyFont="1" applyBorder="1" applyAlignment="1">
      <x:alignment horizontal="left" vertical="top" wrapText="1"/>
    </x:xf>
    <x:xf numFmtId="0" fontId="7" fillId="0" borderId="0" xfId="0" applyFont="1" applyAlignment="1">
      <x:alignment horizontal="left" vertical="top" wrapText="1"/>
    </x:xf>
    <x:xf numFmtId="0" fontId="0" fillId="0" borderId="0" xfId="0"/>
    <x:xf numFmtId="14" fontId="7" fillId="0" borderId="1" xfId="0" applyNumberFormat="1" applyFont="1" applyBorder="1" applyAlignment="1">
      <x:alignment horizontal="left" vertical="top" wrapText="1"/>
    </x:xf>
  </x:cellXfs>
  <x:cellStyles count="2">
    <x:cellStyle name="Hyperlink" xfId="1"/>
    <x:cellStyle name="Normal" xfId="0"/>
  </x:cellStyles>
  <x:dxfs count="108"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C0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92D05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60f561cc264dbe" /><Relationship Type="http://schemas.openxmlformats.org/officeDocument/2006/relationships/theme" Target="/xl/theme/theme1.xml" Id="R457cd32f023444e4" /><Relationship Type="http://schemas.openxmlformats.org/officeDocument/2006/relationships/sheetMetadata" Target="/xl/metadata1.xml" Id="R21ecc0ff389c412b" /><Relationship Type="http://schemas.openxmlformats.org/officeDocument/2006/relationships/sharedStrings" Target="/xl/sharedStrings.xml" Id="R7736845d076f409f" /><Relationship Type="http://schemas.openxmlformats.org/officeDocument/2006/relationships/worksheet" Target="/xl/worksheets/sheet1.xml" Id="R7ccce31b86ca40d0" /><Relationship Type="http://schemas.openxmlformats.org/officeDocument/2006/relationships/worksheet" Target="/xl/worksheets/sheet2.xml" Id="Reef26b6371444083" /><Relationship Type="http://schemas.openxmlformats.org/officeDocument/2006/relationships/worksheet" Target="/xl/worksheets/sheet3.xml" Id="Rb3a231c7fbde4269" /><Relationship Type="http://schemas.openxmlformats.org/officeDocument/2006/relationships/worksheet" Target="/xl/worksheets/sheet4.xml" Id="Rf711aab1bf7c4898" /><Relationship Type="http://schemas.openxmlformats.org/officeDocument/2006/relationships/worksheet" Target="/xl/worksheets/sheet5.xml" Id="R77bb3b15ab80459f" /><Relationship Type="http://schemas.openxmlformats.org/officeDocument/2006/relationships/worksheet" Target="/xl/worksheets/sheet6.xml" Id="Rec4863b419294333" /><Relationship Type="http://schemas.openxmlformats.org/officeDocument/2006/relationships/worksheet" Target="/xl/worksheets/sheet7.xml" Id="R66dc9934a2034a2d" /><Relationship Type="http://schemas.openxmlformats.org/officeDocument/2006/relationships/worksheet" Target="/xl/worksheets/sheet8.xml" Id="R5490b7a3555f47cb" /><Relationship Type="http://schemas.openxmlformats.org/officeDocument/2006/relationships/worksheet" Target="/xl/worksheets/sheet9.xml" Id="Rf910354d4d2842cb" /><Relationship Type="http://schemas.openxmlformats.org/officeDocument/2006/relationships/worksheet" Target="/xl/worksheets/sheet10.xml" Id="R08e69f318dd0400e" /><Relationship Type="http://schemas.openxmlformats.org/officeDocument/2006/relationships/worksheet" Target="/xl/worksheets/sheet11.xml" Id="R7a3595d3a1fc44eb" /><Relationship Type="http://schemas.openxmlformats.org/officeDocument/2006/relationships/worksheet" Target="/xl/worksheets/sheet12.xml" Id="R8d22abd4cf1843c6" /><Relationship Type="http://schemas.openxmlformats.org/officeDocument/2006/relationships/worksheet" Target="/xl/worksheets/sheet13.xml" Id="R87df02f06d024fec" /><Relationship Type="http://schemas.openxmlformats.org/officeDocument/2006/relationships/worksheet" Target="/xl/worksheets/sheet14.xml" Id="R0a28f597cfe542d5" /><Relationship Type="http://schemas.openxmlformats.org/officeDocument/2006/relationships/worksheet" Target="/xl/worksheets/sheet15.xml" Id="R8162647e9de84314" /><Relationship Type="http://schemas.openxmlformats.org/officeDocument/2006/relationships/worksheet" Target="/xl/worksheets/sheet16.xml" Id="R8f4a8f8865984db1" /><Relationship Type="http://schemas.openxmlformats.org/officeDocument/2006/relationships/worksheet" Target="/xl/worksheets/sheet17.xml" Id="R3a00a3b2f31a4471" /><Relationship Type="http://schemas.openxmlformats.org/officeDocument/2006/relationships/worksheet" Target="/xl/worksheets/sheet18.xml" Id="Rf95c14510c6b433a" /><Relationship Type="http://schemas.openxmlformats.org/officeDocument/2006/relationships/worksheet" Target="/xl/worksheets/sheet19.xml" Id="R3a51e93c1ba0480b" /><Relationship Type="http://schemas.openxmlformats.org/officeDocument/2006/relationships/worksheet" Target="/xl/worksheets/sheet20.xml" Id="Rb841c7f053ac4bf0" /><Relationship Type="http://schemas.openxmlformats.org/officeDocument/2006/relationships/worksheet" Target="/xl/worksheets/sheet21.xml" Id="Re6fe7194ab7a4291" /><Relationship Type="http://schemas.openxmlformats.org/officeDocument/2006/relationships/worksheet" Target="/xl/worksheets/sheet22.xml" Id="Rae2c1de6e6c44fab" /><Relationship Type="http://schemas.openxmlformats.org/officeDocument/2006/relationships/worksheet" Target="/xl/worksheets/sheet23.xml" Id="Rcdc0a40cb99d430a" /><Relationship Type="http://schemas.openxmlformats.org/officeDocument/2006/relationships/worksheet" Target="/xl/worksheets/sheet24.xml" Id="Rfe9a47299da140a9" /><Relationship Type="http://schemas.openxmlformats.org/officeDocument/2006/relationships/worksheet" Target="/xl/worksheets/sheet25.xml" Id="Rb04c8ee6ec2e4288" /><Relationship Type="http://schemas.openxmlformats.org/officeDocument/2006/relationships/worksheet" Target="/xl/worksheets/sheet26.xml" Id="R51101c0e0d7544d9" /><Relationship Type="http://schemas.openxmlformats.org/officeDocument/2006/relationships/worksheet" Target="/xl/worksheets/sheet27.xml" Id="R8834b23ff6db4c73" /><Relationship Type="http://schemas.openxmlformats.org/officeDocument/2006/relationships/worksheet" Target="/xl/worksheets/sheet28.xml" Id="R5e8d34b46e7b4b0c" /><Relationship Type="http://schemas.openxmlformats.org/officeDocument/2006/relationships/worksheet" Target="/xl/worksheets/sheet29.xml" Id="R94dc118ecb5a424e" /><Relationship Type="http://schemas.openxmlformats.org/officeDocument/2006/relationships/worksheet" Target="/xl/worksheets/sheet30.xml" Id="Raaad2f2cc0444035" /><Relationship Type="http://schemas.openxmlformats.org/officeDocument/2006/relationships/worksheet" Target="/xl/worksheets/sheet31.xml" Id="R433e02194d064992" /><Relationship Type="http://schemas.openxmlformats.org/officeDocument/2006/relationships/worksheet" Target="/xl/worksheets/sheet32.xml" Id="R46915f7920424510" /><Relationship Type="http://schemas.openxmlformats.org/officeDocument/2006/relationships/worksheet" Target="/xl/worksheets/sheet33.xml" Id="Rad288d821b684bab" /><Relationship Type="http://schemas.openxmlformats.org/officeDocument/2006/relationships/worksheet" Target="/xl/worksheets/sheet34.xml" Id="R352ba8e012584e27" /><Relationship Type="http://schemas.openxmlformats.org/officeDocument/2006/relationships/worksheet" Target="/xl/worksheets/sheet35.xml" Id="R3467137caf0442b1" /><Relationship Type="http://schemas.openxmlformats.org/officeDocument/2006/relationships/worksheet" Target="/xl/worksheets/sheet36.xml" Id="R3a67d497ba7547c1" /><Relationship Type="http://schemas.openxmlformats.org/officeDocument/2006/relationships/worksheet" Target="/xl/worksheets/sheet37.xml" Id="R7b6de18563204d2e" /><Relationship Type="http://schemas.openxmlformats.org/officeDocument/2006/relationships/worksheet" Target="/xl/worksheets/sheet38.xml" Id="Re9b055dd27e743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20.xml.rels>&#65279;<?xml version="1.0" encoding="utf-8"?><Relationships xmlns="http://schemas.openxmlformats.org/package/2006/relationships"><Relationship Type="http://schemas.openxmlformats.org/officeDocument/2006/relationships/hyperlink" Target="https://promptpay.io/0812345678/480.00" TargetMode="External" Id="R358929fbfde9402c" /></Relationships>
</file>

<file path=xl/worksheets/sheet1.xml><?xml version="1.0" encoding="utf-8"?>
<x:worksheet xmlns:x="http://schemas.openxmlformats.org/spreadsheetml/2006/main">
  <x:sheetFormatPr defaultRowHeight="16.5"/>
  <x:cols>
    <x:col min="1" max="1" width="5.25" customWidth="1"/>
    <x:col min="2" max="2" width="50.75" customWidth="1"/>
    <x:col min="3" max="3" width="40.25" customWidth="1"/>
    <x:col min="4" max="4" width="13.125" customWidth="1"/>
    <x:col min="5" max="8" width="7.875" customWidth="1"/>
    <x:col min="9" max="9" width="26.25" customWidth="1"/>
  </x:cols>
  <x:sheetData>
    <x:row r="1" ht="21">
      <x:c r="A1" s="26" t="s">
        <x:v>0</x:v>
      </x:c>
      <x:c r="B1" s="26"/>
      <x:c r="C1" s="26"/>
      <x:c r="D1" s="26"/>
      <x:c r="E1" s="26"/>
      <x:c r="F1" s="26"/>
      <x:c r="G1" s="1"/>
      <x:c r="H1" s="1"/>
      <x:c r="I1" s="1"/>
    </x:row>
    <x:row r="2" ht="42">
      <x:c r="A2" s="2" t="s">
        <x:v>1</x:v>
      </x:c>
      <x:c r="B2" s="2" t="s">
        <x:v>2</x:v>
      </x:c>
      <x:c r="C2" s="2" t="s">
        <x:v>3</x:v>
      </x:c>
      <x:c r="D2" s="2" t="s">
        <x:v>4</x:v>
      </x:c>
      <x:c r="E2" s="2" t="s">
        <x:v>5</x:v>
      </x:c>
      <x:c r="F2" s="2" t="s">
        <x:v>6</x:v>
      </x:c>
      <x:c r="G2" s="2" t="s">
        <x:v>7</x:v>
      </x:c>
      <x:c r="H2" s="2" t="s">
        <x:v>8</x:v>
      </x:c>
      <x:c r="I2" s="2" t="s">
        <x:v>9</x:v>
      </x:c>
    </x:row>
    <x:row r="3" ht="21">
      <x:c r="A3" s="27" t="s">
        <x:v>10</x:v>
      </x:c>
      <x:c r="B3" s="27"/>
      <x:c r="C3" s="27"/>
      <x:c r="D3" s="27"/>
      <x:c r="E3" s="27"/>
      <x:c r="F3" s="27"/>
      <x:c r="G3" s="27"/>
      <x:c r="H3" s="27"/>
      <x:c r="I3" s="27"/>
    </x:row>
    <x:row r="4" ht="42">
      <x:c r="A4" s="3">
        <x:v>1</x:v>
      </x:c>
      <x:c r="B4" s="4" t="s">
        <x:v>11</x:v>
      </x:c>
      <x:c r="C4" s="4" t="s">
        <x:v>12</x:v>
      </x:c>
      <x:c r="D4" s="3" t="n">
        <x:f>COUNTA(UT01_CreateBooking_EC!$A$28:$A$42)</x:f>
        <x:v>15</x:v>
      </x:c>
      <x:c r="E4" s="3" t="n">
        <x:f>COUNTIF(UT01_CreateBooking_EC!$J$28:$J$42,"Pass")</x:f>
        <x:v>15</x:v>
      </x:c>
      <x:c r="F4" s="3" t="n">
        <x:f>COUNTIF(UT01_CreateBooking_EC!$J$28:$J$42,"Fail")</x:f>
        <x:v>0</x:v>
      </x:c>
      <x:c r="G4" s="3" t="n">
        <x:f>COUNTIF(UT01_CreateBooking_EC!$J$28:$J$42,"No run")</x:f>
        <x:v>0</x:v>
      </x:c>
      <x:c r="H4" s="3" t="n">
        <x:f>COUNTIF(UT01_CreateBooking_EC!$J$28:$J$42,"Block")</x:f>
        <x:v>0</x:v>
      </x:c>
      <x:c r="I4" s="4"/>
    </x:row>
    <x:row r="5" ht="64.5" customHeight="1">
      <x:c r="A5" s="3">
        <x:v>2</x:v>
      </x:c>
      <x:c r="B5" s="4" t="s">
        <x:v>13</x:v>
      </x:c>
      <x:c r="C5" s="4" t="s">
        <x:v>14</x:v>
      </x:c>
      <x:c r="D5" s="3" t="n">
        <x:f>COUNTA(UT02_CreateBooking_DT!$B$29:$B$38)</x:f>
        <x:v>10</x:v>
      </x:c>
      <x:c r="E5" s="3" t="n">
        <x:f>COUNTIF(UT02_CreateBooking_DT!$H$29:$H$38,"Pass")</x:f>
        <x:v>10</x:v>
      </x:c>
      <x:c r="F5" s="3" t="n">
        <x:f>COUNTIF(UT02_CreateBooking_DT!$H$29:$H$38,"Fail")</x:f>
        <x:v>0</x:v>
      </x:c>
      <x:c r="G5" s="3" t="n">
        <x:f>COUNTIF(UT02_CreateBooking_DT!$H$29:$H$38,"No run")</x:f>
        <x:v>0</x:v>
      </x:c>
      <x:c r="H5" s="3" t="n">
        <x:f>COUNTIF(UT02_CreateBooking_DT!$H$29:$H$38,"Block")</x:f>
        <x:v>0</x:v>
      </x:c>
      <x:c r="I5" s="4"/>
    </x:row>
    <x:row r="6" ht="64.5" customHeight="1">
      <x:c r="A6" s="3">
        <x:v>3</x:v>
      </x:c>
      <x:c r="B6" s="4" t="s">
        <x:v>15</x:v>
      </x:c>
      <x:c r="C6" s="4" t="s">
        <x:v>16</x:v>
      </x:c>
      <x:c r="D6" s="3" t="n">
        <x:f>COUNTA(UT03_CreateBooking_Time_BVA!$A$11:$A$23)</x:f>
        <x:v>13</x:v>
      </x:c>
      <x:c r="E6" s="3" t="n">
        <x:f>COUNTIF(UT03_CreateBooking_Time_BVA!$G$11:$G$23,"Pass")</x:f>
        <x:v>13</x:v>
      </x:c>
      <x:c r="F6" s="3" t="n">
        <x:f>COUNTIF(UT03_CreateBooking_Time_BVA!$G$11:$G$23,"Fail")</x:f>
        <x:v>0</x:v>
      </x:c>
      <x:c r="G6" s="3" t="n">
        <x:f>COUNTIF(UT03_CreateBooking_Time_BVA!$G$11:$G$23,"No run")</x:f>
        <x:v>0</x:v>
      </x:c>
      <x:c r="H6" s="3" t="n">
        <x:f>COUNTIF(UT03_CreateBooking_Time_BVA!$G$11:$G$23,"Block")</x:f>
        <x:v>0</x:v>
      </x:c>
      <x:c r="I6" s="4"/>
      <x:c r="K6" s="40"/>
    </x:row>
    <x:row r="7" ht="63">
      <x:c r="A7" s="3">
        <x:v>4</x:v>
      </x:c>
      <x:c r="B7" s="4" t="s">
        <x:v>17</x:v>
      </x:c>
      <x:c r="C7" s="4" t="s">
        <x:v>18</x:v>
      </x:c>
      <x:c r="D7" s="3" t="n">
        <x:f>COUNTA(UT04_Overlap_Buffer_BVA!$A$11:$A$23)</x:f>
        <x:v>13</x:v>
      </x:c>
      <x:c r="E7" s="3" t="n">
        <x:f>COUNTIF(UT04_Overlap_Buffer_BVA!$H$11:$H$23,"Pass")</x:f>
        <x:v>13</x:v>
      </x:c>
      <x:c r="F7" s="3" t="n">
        <x:f>COUNTIF(UT04_Overlap_Buffer_BVA!$H$11:$H$23,"Fail")</x:f>
        <x:v>0</x:v>
      </x:c>
      <x:c r="G7" s="3" t="n">
        <x:f>COUNTIF(UT04_Overlap_Buffer_BVA!$H$11:$H$23,"No run")</x:f>
        <x:v>0</x:v>
      </x:c>
      <x:c r="H7" s="3" t="n">
        <x:f>COUNTIF(UT04_Overlap_Buffer_BVA!$H$11:$H$23,"Block")</x:f>
        <x:v>0</x:v>
      </x:c>
      <x:c r="I7" s="4"/>
    </x:row>
    <x:row r="8" ht="21">
      <x:c r="A8" s="3">
        <x:v>5</x:v>
      </x:c>
      <x:c r="B8" s="4" t="s">
        <x:v>19</x:v>
      </x:c>
      <x:c r="C8" s="4" t="s">
        <x:v>20</x:v>
      </x:c>
      <x:c r="D8" s="3" t="n">
        <x:f>COUNTA(UT05_CancelBooking_DT!$B$34:$B$45)</x:f>
        <x:v>12</x:v>
      </x:c>
      <x:c r="E8" s="3" t="n">
        <x:f>COUNTIF(UT05_CancelBooking_DT!$I$34:$I$45,"Pass")</x:f>
        <x:v>12</x:v>
      </x:c>
      <x:c r="F8" s="3" t="n">
        <x:f>COUNTIF(UT05_CancelBooking_DT!$I$34:$I$45,"Fail")</x:f>
        <x:v>0</x:v>
      </x:c>
      <x:c r="G8" s="3" t="n">
        <x:f>COUNTIF(UT05_CancelBooking_DT!$I$34:$I$45,"No run")</x:f>
        <x:v>0</x:v>
      </x:c>
      <x:c r="H8" s="3" t="n">
        <x:f>COUNTIF(UT05_CancelBooking_DT!$I$34:$I$45,"Block")</x:f>
        <x:v>0</x:v>
      </x:c>
      <x:c r="I8" s="4"/>
    </x:row>
    <x:row r="9" ht="42">
      <x:c r="A9" s="3">
        <x:v>6</x:v>
      </x:c>
      <x:c r="B9" s="4" t="s">
        <x:v>21</x:v>
      </x:c>
      <x:c r="C9" s="4" t="s">
        <x:v>18</x:v>
      </x:c>
      <x:c r="D9" s="3" t="n">
        <x:f>COUNTA(UT06_Cancel_2h_BVA!$A$11:$A$15)</x:f>
        <x:v>5</x:v>
      </x:c>
      <x:c r="E9" s="3" t="n">
        <x:f>COUNTIF(UT06_Cancel_2h_BVA!$F$11:$F$15,"Pass")</x:f>
        <x:v>5</x:v>
      </x:c>
      <x:c r="F9" s="3" t="n">
        <x:f>COUNTIF(UT06_Cancel_2h_BVA!$F$11:$F$15,"Fail")</x:f>
        <x:v>0</x:v>
      </x:c>
      <x:c r="G9" s="3" t="n">
        <x:f>COUNTIF(UT06_Cancel_2h_BVA!$F$11:$F$15,"No run")</x:f>
        <x:v>0</x:v>
      </x:c>
      <x:c r="H9" s="3" t="n">
        <x:f>COUNTIF(UT06_Cancel_2h_BVA!$F$11:$F$15,"Block")</x:f>
        <x:v>0</x:v>
      </x:c>
      <x:c r="I9" s="4"/>
    </x:row>
    <x:row r="10" ht="42">
      <x:c r="A10" s="3">
        <x:v>7</x:v>
      </x:c>
      <x:c r="B10" s="4" t="s">
        <x:v>22</x:v>
      </x:c>
      <x:c r="C10" s="4" t="s">
        <x:v>14</x:v>
      </x:c>
      <x:c r="D10" s="3" t="n">
        <x:f>COUNTA(UT07_GetBookingById_DT!$B$26:$B$33)</x:f>
        <x:v>7</x:v>
      </x:c>
      <x:c r="E10" s="3" t="n">
        <x:f>COUNTIF(UT07_GetBookingById_DT!$G$26:$G$33,"Pass")</x:f>
        <x:v>7</x:v>
      </x:c>
      <x:c r="F10" s="3" t="n">
        <x:f>COUNTIF(UT07_GetBookingById_DT!$G$26:$G$33,"Fail")</x:f>
        <x:v>0</x:v>
      </x:c>
      <x:c r="G10" s="3" t="n">
        <x:f>COUNTIF(UT07_GetBookingById_DT!$G$26:$G$33,"No run")</x:f>
        <x:v>0</x:v>
      </x:c>
      <x:c r="H10" s="3" t="n">
        <x:f>COUNTIF(UT07_GetBookingById_DT!$G$26:$G$33,"Block")</x:f>
        <x:v>0</x:v>
      </x:c>
      <x:c r="I10" s="4"/>
    </x:row>
    <x:row r="11" ht="63">
      <x:c r="A11" s="3">
        <x:v>8</x:v>
      </x:c>
      <x:c r="B11" s="4" t="s">
        <x:v>23</x:v>
      </x:c>
      <x:c r="C11" s="4" t="s">
        <x:v>24</x:v>
      </x:c>
      <x:c r="D11" s="3" t="n">
        <x:f>COUNTA(UT08_BookingState_DT!$B$31:$B$75)</x:f>
        <x:v>44</x:v>
      </x:c>
      <x:c r="E11" s="3" t="n">
        <x:f>COUNTIF(UT08_BookingState_DT!$H$31:$H$75,"Pass")</x:f>
        <x:v>44</x:v>
      </x:c>
      <x:c r="F11" s="3" t="n">
        <x:f>COUNTIF(UT08_BookingState_DT!$H$31:$H$75,"Fail")</x:f>
        <x:v>0</x:v>
      </x:c>
      <x:c r="G11" s="3" t="n">
        <x:f>COUNTIF(UT08_BookingState_DT!$H$31:$H$75,"No run")</x:f>
        <x:v>0</x:v>
      </x:c>
      <x:c r="H11" s="3" t="n">
        <x:f>COUNTIF(UT08_BookingState_DT!$H$31:$H$75,"Block")</x:f>
        <x:v>0</x:v>
      </x:c>
      <x:c r="I11" s="4"/>
    </x:row>
    <x:row r="12" ht="22.5" customHeight="1">
      <x:c r="A12" s="3">
        <x:v>9</x:v>
      </x:c>
      <x:c r="B12" s="4" t="s">
        <x:v>25</x:v>
      </x:c>
      <x:c r="C12" s="4" t="s">
        <x:v>26</x:v>
      </x:c>
      <x:c r="D12" s="3" t="n">
        <x:f>COUNTA(UT09_StateFactory_EC!$A$24:$A$31)</x:f>
        <x:v>7</x:v>
      </x:c>
      <x:c r="E12" s="3" t="n">
        <x:f>COUNTIF(UT09_StateFactory_EC!$E$24:$E$31,"Pass")</x:f>
        <x:v>7</x:v>
      </x:c>
      <x:c r="F12" s="3" t="n">
        <x:f>COUNTIF(UT09_StateFactory_EC!$E$24:$E$31,"Fail")</x:f>
        <x:v>0</x:v>
      </x:c>
      <x:c r="G12" s="3" t="n">
        <x:f>COUNTIF(UT09_StateFactory_EC!$E$24:$E$31,"No run")</x:f>
        <x:v>0</x:v>
      </x:c>
      <x:c r="H12" s="3" t="n">
        <x:f>COUNTIF(UT09_StateFactory_EC!$E$24:$E$31,"Block")</x:f>
        <x:v>0</x:v>
      </x:c>
      <x:c r="I12" s="4"/>
    </x:row>
    <x:row r="13" ht="64.5" customHeight="1">
      <x:c r="A13" s="3">
        <x:v>10</x:v>
      </x:c>
      <x:c r="B13" s="4" t="s">
        <x:v>27</x:v>
      </x:c>
      <x:c r="C13" s="4" t="s">
        <x:v>16</x:v>
      </x:c>
      <x:c r="D13" s="3" t="n">
        <x:f>COUNTA(UT10_Availability_BVA!$A$12:$A$19)</x:f>
        <x:v>8</x:v>
      </x:c>
      <x:c r="E13" s="3" t="n">
        <x:f>COUNTIF(UT10_Availability_BVA!$E$12:$E$19,"Pass")</x:f>
        <x:v>8</x:v>
      </x:c>
      <x:c r="F13" s="3" t="n">
        <x:f>COUNTIF(UT10_Availability_BVA!$E$12:$E$19,"Fail")</x:f>
        <x:v>0</x:v>
      </x:c>
      <x:c r="G13" s="3" t="n">
        <x:f>COUNTIF(UT10_Availability_BVA!$E$12:$E$19,"No run")</x:f>
        <x:v>0</x:v>
      </x:c>
      <x:c r="H13" s="3" t="n">
        <x:f>COUNTIF(UT10_Availability_BVA!$E$12:$E$19,"Block")</x:f>
        <x:v>0</x:v>
      </x:c>
      <x:c r="I13" s="4"/>
    </x:row>
    <x:row r="14" ht="64.5" customHeight="1">
      <x:c r="A14" s="3">
        <x:v>11</x:v>
      </x:c>
      <x:c r="B14" s="4" t="s">
        <x:v>28</x:v>
      </x:c>
      <x:c r="C14" s="4" t="s">
        <x:v>12</x:v>
      </x:c>
      <x:c r="D14" s="3" t="n">
        <x:f>COUNTA(UT11_Availability_EC!$A$24:$A$32)</x:f>
        <x:v>8</x:v>
      </x:c>
      <x:c r="E14" s="3" t="n">
        <x:f>COUNTIF(UT11_Availability_EC!$G$24:$G$32,"Pass")</x:f>
        <x:v>8</x:v>
      </x:c>
      <x:c r="F14" s="3" t="n">
        <x:f>COUNTIF(UT11_Availability_EC!$G$24:$G$32,"Fail")</x:f>
        <x:v>0</x:v>
      </x:c>
      <x:c r="G14" s="3" t="n">
        <x:f>COUNTIF(UT11_Availability_EC!$G$24:$G$32,"No run")</x:f>
        <x:v>0</x:v>
      </x:c>
      <x:c r="H14" s="3" t="n">
        <x:f>COUNTIF(UT11_Availability_EC!$G$24:$G$32,"Block")</x:f>
        <x:v>0</x:v>
      </x:c>
      <x:c r="I14" s="4"/>
    </x:row>
    <x:row r="15" ht="64.5" customHeight="1">
      <x:c r="A15" s="3">
        <x:v>12</x:v>
      </x:c>
      <x:c r="B15" s="4" t="s">
        <x:v>29</x:v>
      </x:c>
      <x:c r="C15" s="4" t="s">
        <x:v>30</x:v>
      </x:c>
      <x:c r="D15" s="3" t="n">
        <x:f>COUNTA(UT12_BookingMapper_EC!$A$23:$A$30)</x:f>
        <x:v>7</x:v>
      </x:c>
      <x:c r="E15" s="3" t="n">
        <x:f>COUNTIF(UT12_BookingMapper_EC!$F$23:$F$30,"Pass")</x:f>
        <x:v>7</x:v>
      </x:c>
      <x:c r="F15" s="3" t="n">
        <x:f>COUNTIF(UT12_BookingMapper_EC!$F$23:$F$30,"Fail")</x:f>
        <x:v>0</x:v>
      </x:c>
      <x:c r="G15" s="3" t="n">
        <x:f>COUNTIF(UT12_BookingMapper_EC!$F$23:$F$30,"No run")</x:f>
        <x:v>0</x:v>
      </x:c>
      <x:c r="H15" s="3" t="n">
        <x:f>COUNTIF(UT12_BookingMapper_EC!$F$23:$F$30,"Block")</x:f>
        <x:v>0</x:v>
      </x:c>
      <x:c r="I15" s="4"/>
    </x:row>
    <x:row r="16" ht="21">
      <x:c r="A16" s="27" t="s">
        <x:v>31</x:v>
      </x:c>
      <x:c r="B16" s="27"/>
      <x:c r="C16" s="27"/>
      <x:c r="D16" s="27"/>
      <x:c r="E16" s="27"/>
      <x:c r="F16" s="27"/>
      <x:c r="G16" s="27"/>
      <x:c r="H16" s="27"/>
      <x:c r="I16" s="27"/>
    </x:row>
    <x:row r="17" ht="42">
      <x:c r="A17" s="3">
        <x:v>13</x:v>
      </x:c>
      <x:c r="B17" s="4" t="s">
        <x:v>32</x:v>
      </x:c>
      <x:c r="C17" s="4" t="s">
        <x:v>14</x:v>
      </x:c>
      <x:c r="D17" s="3" t="n">
        <x:f>COUNTA(UT13_ProcessPayment_DT!$B$30:$B$37)</x:f>
        <x:v>7</x:v>
      </x:c>
      <x:c r="E17" s="3" t="n">
        <x:f>COUNTIF(UT13_ProcessPayment_DT!$H$30:$H$37,"Pass")</x:f>
        <x:v>7</x:v>
      </x:c>
      <x:c r="F17" s="3" t="n">
        <x:f>COUNTIF(UT13_ProcessPayment_DT!$H$30:$H$37,"Fail")</x:f>
        <x:v>0</x:v>
      </x:c>
      <x:c r="G17" s="3" t="n">
        <x:f>COUNTIF(UT13_ProcessPayment_DT!$H$30:$H$37,"No run")</x:f>
        <x:v>0</x:v>
      </x:c>
      <x:c r="H17" s="3" t="n">
        <x:f>COUNTIF(UT13_ProcessPayment_DT!$H$30:$H$37,"Block")</x:f>
        <x:v>0</x:v>
      </x:c>
      <x:c r="I17" s="4"/>
    </x:row>
    <x:row r="18" ht="42">
      <x:c r="A18" s="3">
        <x:v>14</x:v>
      </x:c>
      <x:c r="B18" s="4" t="s">
        <x:v>33</x:v>
      </x:c>
      <x:c r="C18" s="4" t="s">
        <x:v>12</x:v>
      </x:c>
      <x:c r="D18" s="3" t="n">
        <x:f>COUNTA(UT14_Payment_Promo_Status_EC!$A$23:$A$33)</x:f>
        <x:v>10</x:v>
      </x:c>
      <x:c r="E18" s="3" t="n">
        <x:f>COUNTIF(UT14_Payment_Promo_Status_EC!$G$23:$G$33,"Pass")</x:f>
        <x:v>10</x:v>
      </x:c>
      <x:c r="F18" s="3" t="n">
        <x:f>COUNTIF(UT14_Payment_Promo_Status_EC!$G$23:$G$33,"Fail")</x:f>
        <x:v>0</x:v>
      </x:c>
      <x:c r="G18" s="3" t="n">
        <x:f>COUNTIF(UT14_Payment_Promo_Status_EC!$G$23:$G$33,"No run")</x:f>
        <x:v>0</x:v>
      </x:c>
      <x:c r="H18" s="3" t="n">
        <x:f>COUNTIF(UT14_Payment_Promo_Status_EC!$G$23:$G$33,"Block")</x:f>
        <x:v>0</x:v>
      </x:c>
      <x:c r="I18" s="4"/>
    </x:row>
    <x:row r="19" ht="21">
      <x:c r="A19" s="3">
        <x:v>15</x:v>
      </x:c>
      <x:c r="B19" s="4" t="s">
        <x:v>34</x:v>
      </x:c>
      <x:c r="C19" s="4" t="s">
        <x:v>16</x:v>
      </x:c>
      <x:c r="D19" s="3" t="n">
        <x:f>COUNTA(UT15_FixedDiscount_BVA!$A$12:$A$25)</x:f>
        <x:v>13</x:v>
      </x:c>
      <x:c r="E19" s="3" t="n">
        <x:f>COUNTIF(UT15_FixedDiscount_BVA!$F$12:$F$25,"Pass")</x:f>
        <x:v>13</x:v>
      </x:c>
      <x:c r="F19" s="3" t="n">
        <x:f>COUNTIF(UT15_FixedDiscount_BVA!$F$12:$F$25,"Fail")</x:f>
        <x:v>0</x:v>
      </x:c>
      <x:c r="G19" s="3" t="n">
        <x:f>COUNTIF(UT15_FixedDiscount_BVA!$F$12:$F$25,"No run")</x:f>
        <x:v>0</x:v>
      </x:c>
      <x:c r="H19" s="3" t="n">
        <x:f>COUNTIF(UT15_FixedDiscount_BVA!$F$12:$F$25,"Block")</x:f>
        <x:v>0</x:v>
      </x:c>
      <x:c r="I19" s="4"/>
    </x:row>
    <x:row r="20" ht="21">
      <x:c r="A20" s="3">
        <x:v>16</x:v>
      </x:c>
      <x:c r="B20" s="4" t="s">
        <x:v>35</x:v>
      </x:c>
      <x:c r="C20" s="4" t="s">
        <x:v>12</x:v>
      </x:c>
      <x:c r="D20" s="3" t="n">
        <x:f>COUNTA(UT16_PercentDiscount_EC!$A$20:$A$28)</x:f>
        <x:v>8</x:v>
      </x:c>
      <x:c r="E20" s="3" t="n">
        <x:f>COUNTIF(UT16_PercentDiscount_EC!$F$20:$F$28,"Pass")</x:f>
        <x:v>8</x:v>
      </x:c>
      <x:c r="F20" s="3" t="n">
        <x:f>COUNTIF(UT16_PercentDiscount_EC!$F$20:$F$28,"Fail")</x:f>
        <x:v>0</x:v>
      </x:c>
      <x:c r="G20" s="3" t="n">
        <x:f>COUNTIF(UT16_PercentDiscount_EC!$F$20:$F$28,"No run")</x:f>
        <x:v>0</x:v>
      </x:c>
      <x:c r="H20" s="3" t="n">
        <x:f>COUNTIF(UT16_PercentDiscount_EC!$F$20:$F$28,"Block")</x:f>
        <x:v>0</x:v>
      </x:c>
      <x:c r="I20" s="4"/>
    </x:row>
    <x:row r="21" ht="21">
      <x:c r="A21" s="3">
        <x:v>17</x:v>
      </x:c>
      <x:c r="B21" s="4" t="s">
        <x:v>36</x:v>
      </x:c>
      <x:c r="C21" s="4" t="s">
        <x:v>12</x:v>
      </x:c>
      <x:c r="D21" s="3" t="n">
        <x:f>COUNTA(UT17_DiscountFactory_EC!$A$20:$A$27)</x:f>
        <x:v>7</x:v>
      </x:c>
      <x:c r="E21" s="3" t="n">
        <x:f>COUNTIF(UT17_DiscountFactory_EC!$F$20:$F$27,"Pass")</x:f>
        <x:v>7</x:v>
      </x:c>
      <x:c r="F21" s="3" t="n">
        <x:f>COUNTIF(UT17_DiscountFactory_EC!$F$20:$F$27,"Fail")</x:f>
        <x:v>0</x:v>
      </x:c>
      <x:c r="G21" s="3" t="n">
        <x:f>COUNTIF(UT17_DiscountFactory_EC!$F$20:$F$27,"No run")</x:f>
        <x:v>0</x:v>
      </x:c>
      <x:c r="H21" s="3" t="n">
        <x:f>COUNTIF(UT17_DiscountFactory_EC!$F$20:$F$27,"Block")</x:f>
        <x:v>0</x:v>
      </x:c>
      <x:c r="I21" s="4"/>
    </x:row>
    <x:row r="22" ht="42">
      <x:c r="A22" s="3">
        <x:v>18</x:v>
      </x:c>
      <x:c r="B22" s="4" t="s">
        <x:v>37</x:v>
      </x:c>
      <x:c r="C22" s="4" t="s">
        <x:v>38</x:v>
      </x:c>
      <x:c r="D22" s="3" t="n">
        <x:f>COUNTA(UT18_PaymentStrategy_EC!$A$21:$A$30)</x:f>
        <x:v>9</x:v>
      </x:c>
      <x:c r="E22" s="3" t="n">
        <x:f>COUNTIF(UT18_PaymentStrategy_EC!$F$21:$F$30,"Pass")</x:f>
        <x:v>9</x:v>
      </x:c>
      <x:c r="F22" s="3" t="n">
        <x:f>COUNTIF(UT18_PaymentStrategy_EC!$F$21:$F$30,"Fail")</x:f>
        <x:v>0</x:v>
      </x:c>
      <x:c r="G22" s="3" t="n">
        <x:f>COUNTIF(UT18_PaymentStrategy_EC!$F$21:$F$30,"No run")</x:f>
        <x:v>0</x:v>
      </x:c>
      <x:c r="H22" s="3" t="n">
        <x:f>COUNTIF(UT18_PaymentStrategy_EC!$F$21:$F$30,"Block")</x:f>
        <x:v>0</x:v>
      </x:c>
      <x:c r="I22" s="4"/>
    </x:row>
    <x:row r="23" ht="21">
      <x:c r="A23" s="27" t="s">
        <x:v>39</x:v>
      </x:c>
      <x:c r="B23" s="27"/>
      <x:c r="C23" s="27"/>
      <x:c r="D23" s="27"/>
      <x:c r="E23" s="27"/>
      <x:c r="F23" s="27"/>
      <x:c r="G23" s="27"/>
      <x:c r="H23" s="27"/>
      <x:c r="I23" s="27"/>
    </x:row>
    <x:row r="24" ht="21">
      <x:c r="A24" s="3">
        <x:v>19</x:v>
      </x:c>
      <x:c r="B24" s="4" t="s">
        <x:v>40</x:v>
      </x:c>
      <x:c r="C24" s="4" t="s">
        <x:v>16</x:v>
      </x:c>
      <x:c r="D24" s="3" t="n">
        <x:f>COUNTA(UT19_Refund_Amount_BVA!$A$12:$A$18)</x:f>
        <x:v>6</x:v>
      </x:c>
      <x:c r="E24" s="3" t="n">
        <x:f>COUNTIF(UT19_Refund_Amount_BVA!$E$12:$E$18,"Pass")</x:f>
        <x:v>6</x:v>
      </x:c>
      <x:c r="F24" s="3" t="n">
        <x:f>COUNTIF(UT19_Refund_Amount_BVA!$E$12:$E$18,"Fail")</x:f>
        <x:v>0</x:v>
      </x:c>
      <x:c r="G24" s="3" t="n">
        <x:f>COUNTIF(UT19_Refund_Amount_BVA!$E$12:$E$18,"No run")</x:f>
        <x:v>0</x:v>
      </x:c>
      <x:c r="H24" s="3" t="n">
        <x:f>COUNTIF(UT19_Refund_Amount_BVA!$E$12:$E$18,"Block")</x:f>
        <x:v>0</x:v>
      </x:c>
      <x:c r="I24" s="4"/>
    </x:row>
    <x:row r="25" ht="21">
      <x:c r="A25" s="3">
        <x:v>20</x:v>
      </x:c>
      <x:c r="B25" s="4" t="s">
        <x:v>41</x:v>
      </x:c>
      <x:c r="C25" s="4" t="s">
        <x:v>12</x:v>
      </x:c>
      <x:c r="D25" s="3" t="n">
        <x:f>COUNTA(UT20_Refund_EC!$A$22:$A$31)</x:f>
        <x:v>9</x:v>
      </x:c>
      <x:c r="E25" s="3" t="n">
        <x:f>COUNTIF(UT20_Refund_EC!$F$22:$F$31,"Pass")</x:f>
        <x:v>9</x:v>
      </x:c>
      <x:c r="F25" s="3" t="n">
        <x:f>COUNTIF(UT20_Refund_EC!$F$22:$F$31,"Fail")</x:f>
        <x:v>0</x:v>
      </x:c>
      <x:c r="G25" s="3" t="n">
        <x:f>COUNTIF(UT20_Refund_EC!$F$22:$F$31,"No run")</x:f>
        <x:v>0</x:v>
      </x:c>
      <x:c r="H25" s="3" t="n">
        <x:f>COUNTIF(UT20_Refund_EC!$F$22:$F$31,"Block")</x:f>
        <x:v>0</x:v>
      </x:c>
      <x:c r="I25" s="4"/>
    </x:row>
    <x:row r="26" ht="21">
      <x:c r="A26" s="27" t="s">
        <x:v>42</x:v>
      </x:c>
      <x:c r="B26" s="27"/>
      <x:c r="C26" s="27"/>
      <x:c r="D26" s="27"/>
      <x:c r="E26" s="27"/>
      <x:c r="F26" s="27"/>
      <x:c r="G26" s="27"/>
      <x:c r="H26" s="27"/>
      <x:c r="I26" s="27"/>
    </x:row>
    <x:row r="27" ht="42">
      <x:c r="A27" s="3">
        <x:v>21</x:v>
      </x:c>
      <x:c r="B27" s="4" t="s">
        <x:v>43</x:v>
      </x:c>
      <x:c r="C27" s="4" t="s">
        <x:v>18</x:v>
      </x:c>
      <x:c r="D27" s="3" t="n">
        <x:f>COUNTA(UT21_CheckIn_Window_BVA!$A$12:$A$17)</x:f>
        <x:v>5</x:v>
      </x:c>
      <x:c r="E27" s="3" t="n">
        <x:f>COUNTIF(UT21_CheckIn_Window_BVA!$F$12:$F$17,"Pass")</x:f>
        <x:v>5</x:v>
      </x:c>
      <x:c r="F27" s="3" t="n">
        <x:f>COUNTIF(UT21_CheckIn_Window_BVA!$F$12:$F$17,"Fail")</x:f>
        <x:v>0</x:v>
      </x:c>
      <x:c r="G27" s="3" t="n">
        <x:f>COUNTIF(UT21_CheckIn_Window_BVA!$F$12:$F$17,"No run")</x:f>
        <x:v>0</x:v>
      </x:c>
      <x:c r="H27" s="3" t="n">
        <x:f>COUNTIF(UT21_CheckIn_Window_BVA!$F$12:$F$17,"Block")</x:f>
        <x:v>0</x:v>
      </x:c>
      <x:c r="I27" s="4"/>
    </x:row>
    <x:row r="28" ht="42">
      <x:c r="A28" s="3">
        <x:v>22</x:v>
      </x:c>
      <x:c r="B28" s="4" t="s">
        <x:v>44</x:v>
      </x:c>
      <x:c r="C28" s="4" t="s">
        <x:v>12</x:v>
      </x:c>
      <x:c r="D28" s="3" t="n">
        <x:f>COUNTA(UT22_CheckIn_Queue_EC!$A$22:$A$31)</x:f>
        <x:v>9</x:v>
      </x:c>
      <x:c r="E28" s="3" t="n">
        <x:f>COUNTIF(UT22_CheckIn_Queue_EC!$F$22:$F$31,"Pass")</x:f>
        <x:v>9</x:v>
      </x:c>
      <x:c r="F28" s="3" t="n">
        <x:f>COUNTIF(UT22_CheckIn_Queue_EC!$F$22:$F$31,"Fail")</x:f>
        <x:v>0</x:v>
      </x:c>
      <x:c r="G28" s="3" t="n">
        <x:f>COUNTIF(UT22_CheckIn_Queue_EC!$F$22:$F$31,"No run")</x:f>
        <x:v>0</x:v>
      </x:c>
      <x:c r="H28" s="3" t="n">
        <x:f>COUNTIF(UT22_CheckIn_Queue_EC!$F$22:$F$31,"Block")</x:f>
        <x:v>0</x:v>
      </x:c>
      <x:c r="I28" s="4"/>
    </x:row>
    <x:row r="29" ht="42">
      <x:c r="A29" s="3">
        <x:v>23</x:v>
      </x:c>
      <x:c r="B29" s="4" t="s">
        <x:v>45</x:v>
      </x:c>
      <x:c r="C29" s="4" t="s">
        <x:v>24</x:v>
      </x:c>
      <x:c r="D29" s="3" t="n">
        <x:f>COUNTA(UT23_QueueStatus_DT!$B$29:$B$54)</x:f>
        <x:v>25</x:v>
      </x:c>
      <x:c r="E29" s="3" t="n">
        <x:f>COUNTIF(UT23_QueueStatus_DT!$G$29:$G$54,"Pass")</x:f>
        <x:v>25</x:v>
      </x:c>
      <x:c r="F29" s="3" t="n">
        <x:f>COUNTIF(UT23_QueueStatus_DT!$G$29:$G$54,"Fail")</x:f>
        <x:v>0</x:v>
      </x:c>
      <x:c r="G29" s="3" t="n">
        <x:f>COUNTIF(UT23_QueueStatus_DT!$G$29:$G$54,"No run")</x:f>
        <x:v>0</x:v>
      </x:c>
      <x:c r="H29" s="3" t="n">
        <x:f>COUNTIF(UT23_QueueStatus_DT!$G$29:$G$54,"Block")</x:f>
        <x:v>0</x:v>
      </x:c>
      <x:c r="I29" s="4"/>
    </x:row>
    <x:row r="30" ht="21">
      <x:c r="A30" s="3">
        <x:v>24</x:v>
      </x:c>
      <x:c r="B30" s="4" t="s">
        <x:v>46</x:v>
      </x:c>
      <x:c r="C30" s="4" t="s">
        <x:v>20</x:v>
      </x:c>
      <x:c r="D30" s="3" t="n">
        <x:f>COUNTA(UT24_TherapistExec_DT!$B$28:$B$35)</x:f>
        <x:v>7</x:v>
      </x:c>
      <x:c r="E30" s="3" t="n">
        <x:f>COUNTIF(UT24_TherapistExec_DT!$H$28:$H$35,"Pass")</x:f>
        <x:v>7</x:v>
      </x:c>
      <x:c r="F30" s="3" t="n">
        <x:f>COUNTIF(UT24_TherapistExec_DT!$H$28:$H$35,"Fail")</x:f>
        <x:v>0</x:v>
      </x:c>
      <x:c r="G30" s="3" t="n">
        <x:f>COUNTIF(UT24_TherapistExec_DT!$H$28:$H$35,"No run")</x:f>
        <x:v>0</x:v>
      </x:c>
      <x:c r="H30" s="3" t="n">
        <x:f>COUNTIF(UT24_TherapistExec_DT!$H$28:$H$35,"Block")</x:f>
        <x:v>0</x:v>
      </x:c>
      <x:c r="I30" s="4"/>
    </x:row>
    <x:row r="31" ht="21">
      <x:c r="A31" s="27" t="s">
        <x:v>47</x:v>
      </x:c>
      <x:c r="B31" s="27"/>
      <x:c r="C31" s="27"/>
      <x:c r="D31" s="27"/>
      <x:c r="E31" s="27"/>
      <x:c r="F31" s="27"/>
      <x:c r="G31" s="27"/>
      <x:c r="H31" s="27"/>
      <x:c r="I31" s="27"/>
    </x:row>
    <x:row r="32" ht="21">
      <x:c r="A32" s="3">
        <x:v>25</x:v>
      </x:c>
      <x:c r="B32" s="4" t="s">
        <x:v>48</x:v>
      </x:c>
      <x:c r="C32" s="4" t="s">
        <x:v>16</x:v>
      </x:c>
      <x:c r="D32" s="3" t="n">
        <x:f>COUNTA(UT25_Review_Rating_BVA!$A$12:$A$30)</x:f>
        <x:v>18</x:v>
      </x:c>
      <x:c r="E32" s="3" t="n">
        <x:f>COUNTIF(UT25_Review_Rating_BVA!$G$12:$G$30,"Pass")</x:f>
        <x:v>18</x:v>
      </x:c>
      <x:c r="F32" s="3" t="n">
        <x:f>COUNTIF(UT25_Review_Rating_BVA!$G$12:$G$30,"Fail")</x:f>
        <x:v>0</x:v>
      </x:c>
      <x:c r="G32" s="3" t="n">
        <x:f>COUNTIF(UT25_Review_Rating_BVA!$G$12:$G$30,"No run")</x:f>
        <x:v>0</x:v>
      </x:c>
      <x:c r="H32" s="3" t="n">
        <x:f>COUNTIF(UT25_Review_Rating_BVA!$G$12:$G$30,"Block")</x:f>
        <x:v>0</x:v>
      </x:c>
      <x:c r="I32" s="4"/>
    </x:row>
    <x:row r="33" ht="21">
      <x:c r="A33" s="3">
        <x:v>26</x:v>
      </x:c>
      <x:c r="B33" s="4" t="s">
        <x:v>49</x:v>
      </x:c>
      <x:c r="C33" s="4" t="s">
        <x:v>12</x:v>
      </x:c>
      <x:c r="D33" s="3" t="n">
        <x:f>COUNTA(UT26_Review_EC!$A$21:$A$30)</x:f>
        <x:v>8</x:v>
      </x:c>
      <x:c r="E33" s="3" t="n">
        <x:f>COUNTIF(UT26_Review_EC!$F$21:$F$30,"Pass")</x:f>
        <x:v>8</x:v>
      </x:c>
      <x:c r="F33" s="3" t="n">
        <x:f>COUNTIF(UT26_Review_EC!$F$21:$F$30,"Fail")</x:f>
        <x:v>0</x:v>
      </x:c>
      <x:c r="G33" s="3" t="n">
        <x:f>COUNTIF(UT26_Review_EC!$F$21:$F$30,"No run")</x:f>
        <x:v>0</x:v>
      </x:c>
      <x:c r="H33" s="3" t="n">
        <x:f>COUNTIF(UT26_Review_EC!$F$21:$F$30,"Block")</x:f>
        <x:v>0</x:v>
      </x:c>
      <x:c r="I33" s="4"/>
    </x:row>
    <x:row r="34" ht="21">
      <x:c r="A34" s="27" t="s">
        <x:v>50</x:v>
      </x:c>
      <x:c r="B34" s="27"/>
      <x:c r="C34" s="27"/>
      <x:c r="D34" s="27"/>
      <x:c r="E34" s="27"/>
      <x:c r="F34" s="27"/>
      <x:c r="G34" s="27"/>
      <x:c r="H34" s="27"/>
      <x:c r="I34" s="27"/>
    </x:row>
    <x:row r="35" ht="21">
      <x:c r="A35" s="3">
        <x:v>27</x:v>
      </x:c>
      <x:c r="B35" s="4" t="s">
        <x:v>51</x:v>
      </x:c>
      <x:c r="C35" s="4" t="s">
        <x:v>14</x:v>
      </x:c>
      <x:c r="D35" s="3" t="n">
        <x:f>COUNTA(UT27_Login_DT!$B$22:$B$28)</x:f>
        <x:v>6</x:v>
      </x:c>
      <x:c r="E35" s="3" t="n">
        <x:f>COUNTIF(UT27_Login_DT!$H$22:$H$28,"Pass")</x:f>
        <x:v>6</x:v>
      </x:c>
      <x:c r="F35" s="3" t="n">
        <x:f>COUNTIF(UT27_Login_DT!$H$22:$H$28,"Fail")</x:f>
        <x:v>0</x:v>
      </x:c>
      <x:c r="G35" s="3" t="n">
        <x:f>COUNTIF(UT27_Login_DT!$H$22:$H$28,"No run")</x:f>
        <x:v>0</x:v>
      </x:c>
      <x:c r="H35" s="3" t="n">
        <x:f>COUNTIF(UT27_Login_DT!$H$22:$H$28,"Block")</x:f>
        <x:v>0</x:v>
      </x:c>
      <x:c r="I35" s="4"/>
    </x:row>
    <x:row r="36" ht="21">
      <x:c r="A36" s="3">
        <x:v>28</x:v>
      </x:c>
      <x:c r="B36" s="4" t="s">
        <x:v>52</x:v>
      </x:c>
      <x:c r="C36" s="4" t="s">
        <x:v>12</x:v>
      </x:c>
      <x:c r="D36" s="3" t="n">
        <x:f>COUNTA(UT28_Register_EC!$A$19:$A$23)</x:f>
        <x:v>4</x:v>
      </x:c>
      <x:c r="E36" s="3" t="n">
        <x:f>COUNTIF(UT28_Register_EC!$G$19:$G$23,"Pass")</x:f>
        <x:v>4</x:v>
      </x:c>
      <x:c r="F36" s="3" t="n">
        <x:f>COUNTIF(UT28_Register_EC!$G$19:$G$23,"Fail")</x:f>
        <x:v>0</x:v>
      </x:c>
      <x:c r="G36" s="3" t="n">
        <x:f>COUNTIF(UT28_Register_EC!$G$19:$G$23,"No run")</x:f>
        <x:v>0</x:v>
      </x:c>
      <x:c r="H36" s="3" t="n">
        <x:f>COUNTIF(UT28_Register_EC!$G$19:$G$23,"Block")</x:f>
        <x:v>0</x:v>
      </x:c>
      <x:c r="I36" s="4"/>
    </x:row>
    <x:row r="37" ht="21">
      <x:c r="A37" s="3">
        <x:v>29</x:v>
      </x:c>
      <x:c r="B37" s="4" t="s">
        <x:v>53</x:v>
      </x:c>
      <x:c r="C37" s="4" t="s">
        <x:v>14</x:v>
      </x:c>
      <x:c r="D37" s="3" t="n">
        <x:f>COUNTA(UT29_UpdateProfile_DT!$B$28:$B$35)</x:f>
        <x:v>7</x:v>
      </x:c>
      <x:c r="E37" s="3" t="n">
        <x:f>COUNTIF(UT29_UpdateProfile_DT!$H$28:$H$35,"Pass")</x:f>
        <x:v>7</x:v>
      </x:c>
      <x:c r="F37" s="3" t="n">
        <x:f>COUNTIF(UT29_UpdateProfile_DT!$H$28:$H$35,"Fail")</x:f>
        <x:v>0</x:v>
      </x:c>
      <x:c r="G37" s="3" t="n">
        <x:f>COUNTIF(UT29_UpdateProfile_DT!$H$28:$H$35,"No run")</x:f>
        <x:v>0</x:v>
      </x:c>
      <x:c r="H37" s="3" t="n">
        <x:f>COUNTIF(UT29_UpdateProfile_DT!$H$28:$H$35,"Block")</x:f>
        <x:v>0</x:v>
      </x:c>
      <x:c r="I37" s="4"/>
    </x:row>
    <x:row r="38" ht="42">
      <x:c r="A38" s="3">
        <x:v>30</x:v>
      </x:c>
      <x:c r="B38" s="4" t="s">
        <x:v>54</x:v>
      </x:c>
      <x:c r="C38" s="4" t="s">
        <x:v>18</x:v>
      </x:c>
      <x:c r="D38" s="3" t="n">
        <x:f>COUNTA(UT30_UserSession_BVA!$A$12:$A$19)</x:f>
        <x:v>7</x:v>
      </x:c>
      <x:c r="E38" s="3" t="n">
        <x:f>COUNTIF(UT30_UserSession_BVA!$F$12:$F$19,"Pass")</x:f>
        <x:v>7</x:v>
      </x:c>
      <x:c r="F38" s="3" t="n">
        <x:f>COUNTIF(UT30_UserSession_BVA!$F$12:$F$19,"Fail")</x:f>
        <x:v>0</x:v>
      </x:c>
      <x:c r="G38" s="3" t="n">
        <x:f>COUNTIF(UT30_UserSession_BVA!$F$12:$F$19,"No run")</x:f>
        <x:v>0</x:v>
      </x:c>
      <x:c r="H38" s="3" t="n">
        <x:f>COUNTIF(UT30_UserSession_BVA!$F$12:$F$19,"Block")</x:f>
        <x:v>0</x:v>
      </x:c>
      <x:c r="I38" s="4"/>
    </x:row>
    <x:row r="39" ht="21">
      <x:c r="A39" s="3">
        <x:v>31</x:v>
      </x:c>
      <x:c r="B39" s="4" t="s">
        <x:v>55</x:v>
      </x:c>
      <x:c r="C39" s="4" t="s">
        <x:v>12</x:v>
      </x:c>
      <x:c r="D39" s="3" t="n">
        <x:f>COUNTA(UT31_JwtToken_EC!$A$21:$A$27)</x:f>
        <x:v>6</x:v>
      </x:c>
      <x:c r="E39" s="3" t="n">
        <x:f>COUNTIF(UT31_JwtToken_EC!$F$21:$F$27,"Pass")</x:f>
        <x:v>6</x:v>
      </x:c>
      <x:c r="F39" s="3" t="n">
        <x:f>COUNTIF(UT31_JwtToken_EC!$F$21:$F$27,"Fail")</x:f>
        <x:v>0</x:v>
      </x:c>
      <x:c r="G39" s="3" t="n">
        <x:f>COUNTIF(UT31_JwtToken_EC!$F$21:$F$27,"No run")</x:f>
        <x:v>0</x:v>
      </x:c>
      <x:c r="H39" s="3" t="n">
        <x:f>COUNTIF(UT31_JwtToken_EC!$F$21:$F$27,"Block")</x:f>
        <x:v>0</x:v>
      </x:c>
      <x:c r="I39" s="4"/>
    </x:row>
    <x:row r="40" ht="21">
      <x:c r="A40" s="27" t="s">
        <x:v>56</x:v>
      </x:c>
      <x:c r="B40" s="27"/>
      <x:c r="C40" s="27"/>
      <x:c r="D40" s="27"/>
      <x:c r="E40" s="27"/>
      <x:c r="F40" s="27"/>
      <x:c r="G40" s="27"/>
      <x:c r="H40" s="27"/>
      <x:c r="I40" s="27"/>
    </x:row>
    <x:row r="41" ht="21">
      <x:c r="A41" s="3">
        <x:v>32</x:v>
      </x:c>
      <x:c r="B41" s="4" t="s">
        <x:v>57</x:v>
      </x:c>
      <x:c r="C41" s="4" t="s">
        <x:v>12</x:v>
      </x:c>
      <x:c r="D41" s="3" t="n">
        <x:f>COUNTA(UT32_RoomService_EC!$A$20:$A$26)</x:f>
        <x:v>6</x:v>
      </x:c>
      <x:c r="E41" s="3" t="n">
        <x:f>COUNTIF(UT32_RoomService_EC!$F$20:$F$26,"Pass")</x:f>
        <x:v>6</x:v>
      </x:c>
      <x:c r="F41" s="3" t="n">
        <x:f>COUNTIF(UT32_RoomService_EC!$F$20:$F$26,"Fail")</x:f>
        <x:v>0</x:v>
      </x:c>
      <x:c r="G41" s="3" t="n">
        <x:f>COUNTIF(UT32_RoomService_EC!$F$20:$F$26,"No run")</x:f>
        <x:v>0</x:v>
      </x:c>
      <x:c r="H41" s="3" t="n">
        <x:f>COUNTIF(UT32_RoomService_EC!$F$20:$F$26,"Block")</x:f>
        <x:v>0</x:v>
      </x:c>
      <x:c r="I41" s="4"/>
    </x:row>
    <x:row r="42" ht="42">
      <x:c r="A42" s="3">
        <x:v>33</x:v>
      </x:c>
      <x:c r="B42" s="4" t="s">
        <x:v>58</x:v>
      </x:c>
      <x:c r="C42" s="4" t="s">
        <x:v>59</x:v>
      </x:c>
      <x:c r="D42" s="3" t="n">
        <x:f>COUNTA(UT33_ServiceCatalog_EC!$A$21:$A$29)</x:f>
        <x:v>8</x:v>
      </x:c>
      <x:c r="E42" s="3" t="n">
        <x:f>COUNTIF(UT33_ServiceCatalog_EC!$G$21:$G$29,"Pass")</x:f>
        <x:v>8</x:v>
      </x:c>
      <x:c r="F42" s="3" t="n">
        <x:f>COUNTIF(UT33_ServiceCatalog_EC!$G$21:$G$29,"Fail")</x:f>
        <x:v>0</x:v>
      </x:c>
      <x:c r="G42" s="3" t="n">
        <x:f>COUNTIF(UT33_ServiceCatalog_EC!$G$21:$G$29,"No run")</x:f>
        <x:v>0</x:v>
      </x:c>
      <x:c r="H42" s="3" t="n">
        <x:f>COUNTIF(UT33_ServiceCatalog_EC!$G$21:$G$29,"Block")</x:f>
        <x:v>0</x:v>
      </x:c>
      <x:c r="I42" s="4"/>
    </x:row>
    <x:row r="43" ht="21">
      <x:c r="A43" s="3">
        <x:v>34</x:v>
      </x:c>
      <x:c r="B43" s="4" t="s">
        <x:v>60</x:v>
      </x:c>
      <x:c r="C43" s="4" t="s">
        <x:v>18</x:v>
      </x:c>
      <x:c r="D43" s="3" t="n">
        <x:f>COUNTA(UT34_Schedule_Shift_BVA!$A$12:$A$21)</x:f>
        <x:v>9</x:v>
      </x:c>
      <x:c r="E43" s="3" t="n">
        <x:f>COUNTIF(UT34_Schedule_Shift_BVA!$F$12:$F$21,"Pass")</x:f>
        <x:v>9</x:v>
      </x:c>
      <x:c r="F43" s="3" t="n">
        <x:f>COUNTIF(UT34_Schedule_Shift_BVA!$F$12:$F$21,"Fail")</x:f>
        <x:v>0</x:v>
      </x:c>
      <x:c r="G43" s="3" t="n">
        <x:f>COUNTIF(UT34_Schedule_Shift_BVA!$F$12:$F$21,"No run")</x:f>
        <x:v>0</x:v>
      </x:c>
      <x:c r="H43" s="3" t="n">
        <x:f>COUNTIF(UT34_Schedule_Shift_BVA!$F$12:$F$21,"Block")</x:f>
        <x:v>0</x:v>
      </x:c>
      <x:c r="I43" s="4"/>
    </x:row>
    <x:row r="44" ht="21">
      <x:c r="A44" s="3">
        <x:v>35</x:v>
      </x:c>
      <x:c r="B44" s="4" t="s">
        <x:v>61</x:v>
      </x:c>
      <x:c r="C44" s="4" t="s">
        <x:v>18</x:v>
      </x:c>
      <x:c r="D44" s="3" t="n">
        <x:f>COUNTA(UT35_ShopHours_BVA!$A$12:$A$19)</x:f>
        <x:v>7</x:v>
      </x:c>
      <x:c r="E44" s="3" t="n">
        <x:f>COUNTIF(UT35_ShopHours_BVA!$F$12:$F$19,"Pass")</x:f>
        <x:v>7</x:v>
      </x:c>
      <x:c r="F44" s="3" t="n">
        <x:f>COUNTIF(UT35_ShopHours_BVA!$F$12:$F$19,"Fail")</x:f>
        <x:v>0</x:v>
      </x:c>
      <x:c r="G44" s="3" t="n">
        <x:f>COUNTIF(UT35_ShopHours_BVA!$F$12:$F$19,"No run")</x:f>
        <x:v>0</x:v>
      </x:c>
      <x:c r="H44" s="3" t="n">
        <x:f>COUNTIF(UT35_ShopHours_BVA!$F$12:$F$19,"Block")</x:f>
        <x:v>0</x:v>
      </x:c>
      <x:c r="I44" s="4"/>
    </x:row>
    <x:row r="45" ht="21">
      <x:c r="A45" s="27" t="s">
        <x:v>62</x:v>
      </x:c>
      <x:c r="B45" s="27"/>
      <x:c r="C45" s="27"/>
      <x:c r="D45" s="27"/>
      <x:c r="E45" s="27"/>
      <x:c r="F45" s="27"/>
      <x:c r="G45" s="27"/>
      <x:c r="H45" s="27"/>
      <x:c r="I45" s="27"/>
    </x:row>
    <x:row r="46" ht="21">
      <x:c r="A46" s="3">
        <x:v>36</x:v>
      </x:c>
      <x:c r="B46" s="4" t="s">
        <x:v>63</x:v>
      </x:c>
      <x:c r="C46" s="4" t="s">
        <x:v>18</x:v>
      </x:c>
      <x:c r="D46" s="3" t="n">
        <x:f>COUNTA(UT36_RevenueReport_BVA!$A$12:$A$21)</x:f>
        <x:v>9</x:v>
      </x:c>
      <x:c r="E46" s="3" t="n">
        <x:f>COUNTIF(UT36_RevenueReport_BVA!$G$12:$G$21,"Pass")</x:f>
        <x:v>9</x:v>
      </x:c>
      <x:c r="F46" s="3" t="n">
        <x:f>COUNTIF(UT36_RevenueReport_BVA!$G$12:$G$21,"Fail")</x:f>
        <x:v>0</x:v>
      </x:c>
      <x:c r="G46" s="3" t="n">
        <x:f>COUNTIF(UT36_RevenueReport_BVA!$G$12:$G$21,"No run")</x:f>
        <x:v>0</x:v>
      </x:c>
      <x:c r="H46" s="3" t="n">
        <x:f>COUNTIF(UT36_RevenueReport_BVA!$G$12:$G$21,"Block")</x:f>
        <x:v>0</x:v>
      </x:c>
      <x:c r="I46" s="4"/>
    </x:row>
    <x:row r="47" ht="21">
      <x:c r="A47" s="25" t="s">
        <x:v>64</x:v>
      </x:c>
      <x:c r="B47" s="25"/>
      <x:c r="C47" s="25"/>
      <x:c r="D47" s="5" t="n" cm="1">
        <x:f t="array" ref="D47">SUMPRODUCT(ISNUMBER(D4:D46)*D4:D46)</x:f>
        <x:v>0</x:v>
      </x:c>
      <x:c r="E47" s="6" t="n" cm="1">
        <x:f t="array" ref="E47">SUMPRODUCT(ISNUMBER(E4:E46)*E4:E46)</x:f>
        <x:v>0</x:v>
      </x:c>
      <x:c r="F47" s="7" t="n" cm="1">
        <x:f t="array" ref="F47">SUMPRODUCT(ISNUMBER(F4:F46)*F4:F46)</x:f>
        <x:v>0</x:v>
      </x:c>
      <x:c r="G47" s="5" t="n" cm="1">
        <x:f t="array" ref="G47">SUMPRODUCT(ISNUMBER(G4:G46)*G4:G46)</x:f>
        <x:v>0</x:v>
      </x:c>
      <x:c r="H47" s="5" t="n" cm="1">
        <x:f t="array" ref="H47">SUMPRODUCT(ISNUMBER(H4:H46)*H4:H46)</x:f>
        <x:v>0</x:v>
      </x:c>
      <x:c r="I47" s="4"/>
    </x:row>
  </x:sheetData>
  <x:mergeCells>
    <x:mergeCell ref="A47:C47"/>
    <x:mergeCell ref="A1:F1"/>
    <x:mergeCell ref="A3:I3"/>
    <x:mergeCell ref="A16:I16"/>
    <x:mergeCell ref="A23:I23"/>
    <x:mergeCell ref="A26:I26"/>
    <x:mergeCell ref="A31:I31"/>
    <x:mergeCell ref="A34:I34"/>
    <x:mergeCell ref="A40:I40"/>
    <x:mergeCell ref="A45:I4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7.625" defaultRowHeight="23.25"/>
  <x:cols>
    <x:col min="1" max="1" width="5.25" style="8" customWidth="1"/>
    <x:col min="2" max="2" width="9.625" style="8" customWidth="1"/>
    <x:col min="3" max="3" width="31.5" style="8" customWidth="1"/>
    <x:col min="4" max="4" width="10.5" style="8" customWidth="1"/>
    <x:col min="5" max="6" width="12.25" style="8" customWidth="1"/>
    <x:col min="7" max="9" width="9.625" style="8" customWidth="1"/>
    <x:col min="10" max="10" width="13.5" style="8" customWidth="1"/>
    <x:col min="11" max="11" width="63" style="8" customWidth="1"/>
    <x:col min="12" max="16384" width="7.625" style="8" customWidth="0"/>
  </x:cols>
  <x:sheetData>
    <x:row r="1" ht="46.5">
      <x:c r="A1" s="22" t="s">
        <x:v>1</x:v>
      </x:c>
      <x:c r="B1" s="22" t="s">
        <x:v>65</x:v>
      </x:c>
      <x:c r="C1" s="22" t="s">
        <x:v>66</x:v>
      </x:c>
      <x:c r="D1" s="22" t="s">
        <x:v>67</x:v>
      </x:c>
      <x:c r="E1" s="22" t="s">
        <x:v>68</x:v>
      </x:c>
      <x:c r="F1" s="22" t="s">
        <x:v>69</x:v>
      </x:c>
      <x:c r="G1" s="22" t="s">
        <x:v>70</x:v>
      </x:c>
      <x:c r="H1" s="22" t="s">
        <x:v>71</x:v>
      </x:c>
      <x:c r="I1" s="22" t="s">
        <x:v>72</x:v>
      </x:c>
      <x:c r="J1" s="22" t="s">
        <x:v>73</x:v>
      </x:c>
      <x:c r="K1" s="22" t="s">
        <x:v>74</x:v>
      </x:c>
    </x:row>
    <x:row r="2" ht="69.75">
      <x:c r="A2" s="17">
        <x:v>1</x:v>
      </x:c>
      <x:c r="B2" s="17" t="s">
        <x:v>75</x:v>
      </x:c>
      <x:c r="C2" s="13" t="s">
        <x:v>76</x:v>
      </x:c>
      <x:c r="D2" s="17" t="s">
        <x:v>77</x:v>
      </x:c>
      <x:c r="E2" s="41">
        <x:v>46305</x:v>
      </x:c>
      <x:c r="F2" s="14" t="s">
        <x:v>78</x:v>
      </x:c>
      <x:c r="G2" s="17" t="str">
        <x:v>Closed</x:v>
      </x:c>
      <x:c r="H2" s="17" t="s">
        <x:v>79</x:v>
      </x:c>
      <x:c r="I2" s="17" t="s">
        <x:v>79</x:v>
      </x:c>
      <x:c r="J2" s="13" t="s">
        <x:v>78</x:v>
      </x:c>
      <x:c r="K2" s="13" t="str">
        <x:v>service/impl/BookingServiceImpl.java และ AvailabilityServiceImpl.java ไม่เทียบ WorkShift • ผิด UC-08b • UT02-TC002 | Resolution: verified in current implementation. Retest: PASS (10/10/2026).</x:v>
      </x:c>
    </x:row>
    <x:row r="3" ht="85.5" customHeight="1">
      <x:c r="A3" s="17">
        <x:v>2</x:v>
      </x:c>
      <x:c r="B3" s="17" t="s">
        <x:v>80</x:v>
      </x:c>
      <x:c r="C3" s="13" t="s">
        <x:v>81</x:v>
      </x:c>
      <x:c r="D3" s="17" t="s">
        <x:v>77</x:v>
      </x:c>
      <x:c r="E3" s="41">
        <x:v>46305</x:v>
      </x:c>
      <x:c r="F3" s="14" t="s">
        <x:v>78</x:v>
      </x:c>
      <x:c r="G3" s="17" t="str">
        <x:v>Closed</x:v>
      </x:c>
      <x:c r="H3" s="17" t="s">
        <x:v>79</x:v>
      </x:c>
      <x:c r="I3" s="17" t="s">
        <x:v>79</x:v>
      </x:c>
      <x:c r="J3" s="13" t="s">
        <x:v>78</x:v>
      </x:c>
      <x:c r="K3" s="13" t="str">
        <x:v>service/impl/BookingServiceImpl.java startDateTime ≠ null • ผิด BR-BKG-02, BR-BKG-03 • UT03-TC002, TC007, TC008, TC013 | Resolution: verified in current implementation. Retest: PASS (10/10/2026).</x:v>
      </x:c>
    </x:row>
    <x:row r="4" ht="46.5">
      <x:c r="A4" s="17">
        <x:v>3</x:v>
      </x:c>
      <x:c r="B4" s="17" t="s">
        <x:v>82</x:v>
      </x:c>
      <x:c r="C4" s="13" t="s">
        <x:v>83</x:v>
      </x:c>
      <x:c r="D4" s="17" t="s">
        <x:v>77</x:v>
      </x:c>
      <x:c r="E4" s="41">
        <x:v>46305</x:v>
      </x:c>
      <x:c r="F4" s="14" t="s">
        <x:v>78</x:v>
      </x:c>
      <x:c r="G4" s="17" t="str">
        <x:v>Closed</x:v>
      </x:c>
      <x:c r="H4" s="17" t="s">
        <x:v>84</x:v>
      </x:c>
      <x:c r="I4" s="17" t="s">
        <x:v>84</x:v>
      </x:c>
      <x:c r="J4" s="13" t="s">
        <x:v>78</x:v>
      </x:c>
      <x:c r="K4" s="13" t="str">
        <x:v>service/impl/BookingServiceImpl.java cancelBooking (บรรทัด 270–300) • ผิด UC-10 A1 • UT05-TC007 | Resolution: verified in current implementation. Retest: PASS (10/10/2026).</x:v>
      </x:c>
    </x:row>
    <x:row r="5" ht="69.75">
      <x:c r="A5" s="17">
        <x:v>4</x:v>
      </x:c>
      <x:c r="B5" s="17" t="s">
        <x:v>85</x:v>
      </x:c>
      <x:c r="C5" s="13" t="s">
        <x:v>86</x:v>
      </x:c>
      <x:c r="D5" s="17" t="s">
        <x:v>77</x:v>
      </x:c>
      <x:c r="E5" s="41">
        <x:v>46305</x:v>
      </x:c>
      <x:c r="F5" s="14" t="s">
        <x:v>78</x:v>
      </x:c>
      <x:c r="G5" s="17" t="str">
        <x:v>Closed</x:v>
      </x:c>
      <x:c r="H5" s="17" t="s">
        <x:v>87</x:v>
      </x:c>
      <x:c r="I5" s="17" t="s">
        <x:v>84</x:v>
      </x:c>
      <x:c r="J5" s="13" t="s">
        <x:v>78</x:v>
      </x:c>
      <x:c r="K5" s="13" t="str">
        <x:v>service/impl/BookingServiceImpl.java • Observer (NotificationListener, QueueListener) ไม่ทำงานเมื่อเปลี่ยนสถานะผ่าน 2 เมธอดนี้ • UT05-TC005 | Resolution: verified in current implementation. Retest: PASS (10/10/2026).</x:v>
      </x:c>
    </x:row>
    <x:row r="6" ht="64.5" customHeight="1">
      <x:c r="A6" s="17">
        <x:v>5</x:v>
      </x:c>
      <x:c r="B6" s="17" t="s">
        <x:v>88</x:v>
      </x:c>
      <x:c r="C6" s="13" t="s">
        <x:v>89</x:v>
      </x:c>
      <x:c r="D6" s="17" t="s">
        <x:v>77</x:v>
      </x:c>
      <x:c r="E6" s="41">
        <x:v>46305</x:v>
      </x:c>
      <x:c r="F6" s="14" t="s">
        <x:v>78</x:v>
      </x:c>
      <x:c r="G6" s="17" t="str">
        <x:v>Closed</x:v>
      </x:c>
      <x:c r="H6" s="17" t="s">
        <x:v>84</x:v>
      </x:c>
      <x:c r="I6" s="17" t="s">
        <x:v>84</x:v>
      </x:c>
      <x:c r="J6" s="13" t="s">
        <x:v>78</x:v>
      </x:c>
      <x:c r="K6" s="13" t="str">
        <x:v>service/impl/BookingServiceImpl.java ConfirmedState.markNoShow • ผิด BR-BKG-05 • UT08 เคสสุดท้าย | Resolution: verified in current implementation. Retest: PASS (10/10/2026).</x:v>
      </x:c>
    </x:row>
    <x:row r="7" ht="85.5" customHeight="1">
      <x:c r="A7" s="17">
        <x:v>6</x:v>
      </x:c>
      <x:c r="B7" s="17" t="s">
        <x:v>90</x:v>
      </x:c>
      <x:c r="C7" s="13" t="s">
        <x:v>91</x:v>
      </x:c>
      <x:c r="D7" s="17" t="s">
        <x:v>77</x:v>
      </x:c>
      <x:c r="E7" s="41">
        <x:v>46305</x:v>
      </x:c>
      <x:c r="F7" s="14" t="s">
        <x:v>78</x:v>
      </x:c>
      <x:c r="G7" s="17" t="str">
        <x:v>Closed</x:v>
      </x:c>
      <x:c r="H7" s="17" t="s">
        <x:v>87</x:v>
      </x:c>
      <x:c r="I7" s="17" t="s">
        <x:v>87</x:v>
      </x:c>
      <x:c r="J7" s="13" t="s">
        <x:v>78</x:v>
      </x:c>
      <x:c r="K7" s="13" t="str">
        <x:v>service/impl/AvailabilityServiceImpl.java บรรทัด 129 ใช้ LocalTime.plusMinutes ซึ่งวนรอบ 24 ชม. • durationMinutes มาจาก query parameter สาธารณะ • UT10-TC008 | Resolution: verified in current implementation. Retest: PASS (10/10/2026).</x:v>
      </x:c>
    </x:row>
    <x:row r="8" ht="85.5" customHeight="1">
      <x:c r="A8" s="17">
        <x:v>7</x:v>
      </x:c>
      <x:c r="B8" s="17" t="s">
        <x:v>92</x:v>
      </x:c>
      <x:c r="C8" s="13" t="s">
        <x:v>93</x:v>
      </x:c>
      <x:c r="D8" s="17" t="s">
        <x:v>77</x:v>
      </x:c>
      <x:c r="E8" s="41">
        <x:v>46305</x:v>
      </x:c>
      <x:c r="F8" s="14" t="s">
        <x:v>78</x:v>
      </x:c>
      <x:c r="G8" s="17" t="str">
        <x:v>Closed</x:v>
      </x:c>
      <x:c r="H8" s="17" t="s">
        <x:v>87</x:v>
      </x:c>
      <x:c r="I8" s="17" t="s">
        <x:v>87</x:v>
      </x:c>
      <x:c r="J8" s="13" t="s">
        <x:v>78</x:v>
      </x:c>
      <x:c r="K8" s="13" t="str">
        <x:v>service/impl/BookingServiceImpl.java และ AvailabilityServiceImpl.java : EXCLUDED_STATUSES มีแค่ CANCELLED, NO_SHOW • UC-08 ข้อ 4 ระบุว่า COMPLETED ไม่ใช่ active • UT11-TC006 | Resolution: verified in current implementation. Retest: PASS (10/10/2026).</x:v>
      </x:c>
    </x:row>
    <x:row r="9" ht="69.75">
      <x:c r="A9" s="17">
        <x:v>8</x:v>
      </x:c>
      <x:c r="B9" s="17" t="s">
        <x:v>94</x:v>
      </x:c>
      <x:c r="C9" s="13" t="s">
        <x:v>95</x:v>
      </x:c>
      <x:c r="D9" s="17" t="s">
        <x:v>77</x:v>
      </x:c>
      <x:c r="E9" s="41">
        <x:v>46305</x:v>
      </x:c>
      <x:c r="F9" s="14" t="s">
        <x:v>78</x:v>
      </x:c>
      <x:c r="G9" s="17" t="str">
        <x:v>Closed</x:v>
      </x:c>
      <x:c r="H9" s="17" t="s">
        <x:v>79</x:v>
      </x:c>
      <x:c r="I9" s="17" t="s">
        <x:v>79</x:v>
      </x:c>
      <x:c r="J9" s="13" t="s">
        <x:v>78</x:v>
      </x:c>
      <x:c r="K9" s="13" t="str">
        <x:v>service/impl/PaymentServiceImpl.java  ผิด BR-QUE-03 และ State diagram • ข้าม completeService() ห้องไม่เข้า CLEANING, คิวไม่ COMPLETED • ยืนยันด้วย UT14-TC009 | Resolution: verified in current implementation. Retest: PASS (10/10/2026).</x:v>
      </x:c>
    </x:row>
    <x:row r="10" ht="69.75">
      <x:c r="A10" s="17">
        <x:v>9</x:v>
      </x:c>
      <x:c r="B10" s="17" t="s">
        <x:v>96</x:v>
      </x:c>
      <x:c r="C10" s="13" t="s">
        <x:v>97</x:v>
      </x:c>
      <x:c r="D10" s="17" t="s">
        <x:v>77</x:v>
      </x:c>
      <x:c r="E10" s="41">
        <x:v>46305</x:v>
      </x:c>
      <x:c r="F10" s="14" t="s">
        <x:v>78</x:v>
      </x:c>
      <x:c r="G10" s="17" t="str">
        <x:v>Closed</x:v>
      </x:c>
      <x:c r="H10" s="17" t="s">
        <x:v>84</x:v>
      </x:c>
      <x:c r="I10" s="17" t="s">
        <x:v>84</x:v>
      </x:c>
      <x:c r="J10" s="13" t="s">
        <x:v>78</x:v>
      </x:c>
      <x:c r="K10" s="13" t="str">
        <x:v>service/impl/PaymentServiceImpl.java (ไม่มี ApplicationEventPublisher) • ลูกค้าไม่ได้รับแจ้งเตือน (UC-07 ข้อ 13) • UT14-TC007, TC008 | Resolution: verified in current implementation. Retest: PASS (10/10/2026).</x:v>
      </x:c>
    </x:row>
    <x:row r="11" ht="46.5">
      <x:c r="A11" s="17">
        <x:v>10</x:v>
      </x:c>
      <x:c r="B11" s="17" t="s">
        <x:v>98</x:v>
      </x:c>
      <x:c r="C11" s="13" t="s">
        <x:v>99</x:v>
      </x:c>
      <x:c r="D11" s="17" t="s">
        <x:v>77</x:v>
      </x:c>
      <x:c r="E11" s="41">
        <x:v>46305</x:v>
      </x:c>
      <x:c r="F11" s="14" t="s">
        <x:v>78</x:v>
      </x:c>
      <x:c r="G11" s="17" t="str">
        <x:v>Closed</x:v>
      </x:c>
      <x:c r="H11" s="17" t="s">
        <x:v>84</x:v>
      </x:c>
      <x:c r="I11" s="17" t="s">
        <x:v>84</x:v>
      </x:c>
      <x:c r="J11" s="13" t="s">
        <x:v>78</x:v>
      </x:c>
      <x:c r="K11" s="13" t="str">
        <x:v>service/impl/PaymentServiceImpl.java processPayment ไม่ตรวจสถานะ booking • ผิด SRS 7.1 (end state) • UT14-TC010, TC011 | Resolution: verified in current implementation. Retest: PASS (10/10/2026).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7" width="13.125" style="8" customWidth="1"/>
    <x:col min="8" max="8" width="40.25" style="8" customWidth="1"/>
    <x:col min="9" max="9" width="34.75" style="8" customWidth="1"/>
    <x:col min="10" max="10" width="14.875" style="8" customWidth="1"/>
    <x:col min="11" max="16384" width="7.625" style="8" customWidth="0"/>
  </x:cols>
  <x:sheetData>
    <x:row r="1" ht="24">
      <x:c r="A1" s="32" t="s">
        <x:v>100</x:v>
      </x:c>
      <x:c r="B1" s="32"/>
      <x:c r="C1" s="32"/>
      <x:c r="D1" s="32"/>
      <x:c r="E1" s="32"/>
      <x:c r="F1" s="32"/>
      <x:c r="G1" s="32"/>
      <x:c r="H1" s="32"/>
      <x:c r="I1" s="32"/>
      <x:c r="J1" s="32"/>
    </x:row>
    <x:row r="2" ht="24">
      <x:c r="A2" s="9" t="s">
        <x:v>101</x:v>
      </x:c>
      <x:c r="F2" s="33" t="s">
        <x:v>102</x:v>
      </x:c>
      <x:c r="G2" s="33"/>
    </x:row>
    <x:row r="3" ht="24">
      <x:c r="A3" s="10" t="s">
        <x:v>103</x:v>
      </x:c>
      <x:c r="B3" s="34" t="s">
        <x:v>104</x:v>
      </x:c>
      <x:c r="C3" s="34"/>
      <x:c r="D3" s="34"/>
      <x:c r="F3" s="10" t="s">
        <x:v>103</x:v>
      </x:c>
      <x:c r="G3" s="34" t="s">
        <x:v>104</x:v>
      </x:c>
      <x:c r="H3" s="34"/>
      <x:c r="I3" s="34"/>
      <x:c r="J3" s="34"/>
    </x:row>
    <x:row r="4" ht="24">
      <x:c r="A4" s="11" t="s">
        <x:v>105</x:v>
      </x:c>
      <x:c r="B4" s="31" t="s">
        <x:v>106</x:v>
      </x:c>
      <x:c r="C4" s="31"/>
      <x:c r="D4" s="31"/>
      <x:c r="F4" s="11" t="s">
        <x:v>107</x:v>
      </x:c>
      <x:c r="G4" s="31" t="s">
        <x:v>108</x:v>
      </x:c>
      <x:c r="H4" s="31"/>
      <x:c r="I4" s="31"/>
      <x:c r="J4" s="31"/>
    </x:row>
    <x:row r="5" ht="24">
      <x:c r="A5" s="11" t="s">
        <x:v>109</x:v>
      </x:c>
      <x:c r="B5" s="31" t="s">
        <x:v>110</x:v>
      </x:c>
      <x:c r="C5" s="31"/>
      <x:c r="D5" s="31"/>
      <x:c r="F5" s="11" t="s">
        <x:v>111</x:v>
      </x:c>
      <x:c r="G5" s="31" t="s">
        <x:v>112</x:v>
      </x:c>
      <x:c r="H5" s="31"/>
      <x:c r="I5" s="31"/>
      <x:c r="J5" s="31"/>
    </x:row>
    <x:row r="6" ht="24">
      <x:c r="A6" s="11" t="s">
        <x:v>113</x:v>
      </x:c>
      <x:c r="B6" s="31" t="s">
        <x:v>114</x:v>
      </x:c>
      <x:c r="C6" s="31"/>
      <x:c r="D6" s="31"/>
      <x:c r="F6" s="11" t="s">
        <x:v>115</x:v>
      </x:c>
      <x:c r="G6" s="31" t="s">
        <x:v>116</x:v>
      </x:c>
      <x:c r="H6" s="31"/>
      <x:c r="I6" s="31"/>
      <x:c r="J6" s="31"/>
    </x:row>
    <x:row r="7" ht="24">
      <x:c r="A7" s="11" t="s">
        <x:v>117</x:v>
      </x:c>
      <x:c r="B7" s="31" t="s">
        <x:v>118</x:v>
      </x:c>
      <x:c r="C7" s="31"/>
      <x:c r="D7" s="31"/>
      <x:c r="F7" s="11" t="s">
        <x:v>119</x:v>
      </x:c>
      <x:c r="G7" s="31" t="s">
        <x:v>120</x:v>
      </x:c>
      <x:c r="H7" s="31"/>
      <x:c r="I7" s="31"/>
      <x:c r="J7" s="31"/>
    </x:row>
    <x:row r="8" ht="24">
      <x:c r="A8" s="11" t="s">
        <x:v>121</x:v>
      </x:c>
      <x:c r="B8" s="31" t="s">
        <x:v>122</x:v>
      </x:c>
      <x:c r="C8" s="31"/>
      <x:c r="D8" s="31"/>
      <x:c r="F8" s="11" t="s">
        <x:v>123</x:v>
      </x:c>
      <x:c r="G8" s="31" t="s">
        <x:v>124</x:v>
      </x:c>
      <x:c r="H8" s="31"/>
      <x:c r="I8" s="31"/>
      <x:c r="J8" s="31"/>
    </x:row>
    <x:row r="9" ht="24">
      <x:c r="A9" s="11" t="s">
        <x:v>125</x:v>
      </x:c>
      <x:c r="B9" s="31" t="s">
        <x:v>126</x:v>
      </x:c>
      <x:c r="C9" s="31"/>
      <x:c r="D9" s="31"/>
      <x:c r="F9" s="11" t="s">
        <x:v>127</x:v>
      </x:c>
      <x:c r="G9" s="31" t="s">
        <x:v>128</x:v>
      </x:c>
      <x:c r="H9" s="31"/>
      <x:c r="I9" s="31"/>
      <x:c r="J9" s="31"/>
    </x:row>
    <x:row r="10" ht="24">
      <x:c r="F10" s="11" t="s">
        <x:v>129</x:v>
      </x:c>
      <x:c r="G10" s="31" t="s">
        <x:v>130</x:v>
      </x:c>
      <x:c r="H10" s="31"/>
      <x:c r="I10" s="31"/>
      <x:c r="J10" s="31"/>
    </x:row>
    <x:row r="11" ht="24">
      <x:c r="F11" s="11" t="s">
        <x:v>131</x:v>
      </x:c>
      <x:c r="G11" s="31" t="s">
        <x:v>132</x:v>
      </x:c>
      <x:c r="H11" s="31"/>
      <x:c r="I11" s="31"/>
      <x:c r="J11" s="31"/>
    </x:row>
    <x:row r="12" ht="24">
      <x:c r="F12" s="11" t="s">
        <x:v>133</x:v>
      </x:c>
      <x:c r="G12" s="31" t="s">
        <x:v>134</x:v>
      </x:c>
      <x:c r="H12" s="31"/>
      <x:c r="I12" s="31"/>
      <x:c r="J12" s="31"/>
    </x:row>
    <x:row r="13" ht="24">
      <x:c r="F13" s="11" t="s">
        <x:v>135</x:v>
      </x:c>
      <x:c r="G13" s="31" t="s">
        <x:v>136</x:v>
      </x:c>
      <x:c r="H13" s="31"/>
      <x:c r="I13" s="31"/>
      <x:c r="J13" s="31"/>
    </x:row>
    <x:row r="14" ht="24">
      <x:c r="F14" s="11" t="s">
        <x:v>137</x:v>
      </x:c>
      <x:c r="G14" s="31" t="s">
        <x:v>138</x:v>
      </x:c>
      <x:c r="H14" s="31"/>
      <x:c r="I14" s="31"/>
      <x:c r="J14" s="31"/>
    </x:row>
    <x:row r="15" ht="24">
      <x:c r="F15" s="11" t="s">
        <x:v>139</x:v>
      </x:c>
      <x:c r="G15" s="31" t="s">
        <x:v>140</x:v>
      </x:c>
      <x:c r="H15" s="31"/>
      <x:c r="I15" s="31"/>
      <x:c r="J15" s="31"/>
    </x:row>
    <x:row r="16" ht="24">
      <x:c r="F16" s="11" t="s">
        <x:v>141</x:v>
      </x:c>
      <x:c r="G16" s="31" t="s">
        <x:v>142</x:v>
      </x:c>
      <x:c r="H16" s="31"/>
      <x:c r="I16" s="31"/>
      <x:c r="J16" s="31"/>
    </x:row>
    <x:row r="18">
      <x:c r="A18" s="30" t="s">
        <x:v>143</x:v>
      </x:c>
      <x:c r="B18" s="30"/>
      <x:c r="C18" s="30"/>
      <x:c r="D18" s="30"/>
      <x:c r="E18" s="30"/>
      <x:c r="F18" s="30"/>
      <x:c r="G18" s="30"/>
      <x:c r="H18" s="30"/>
      <x:c r="I18" s="30"/>
      <x:c r="J18" s="30"/>
    </x:row>
    <x:row r="20">
      <x:c r="A20" s="12" t="s">
        <x:v>144</x:v>
      </x:c>
      <x:c r="B20" s="28" t="s">
        <x:v>145</x:v>
      </x:c>
      <x:c r="C20" s="28"/>
      <x:c r="D20" s="28"/>
      <x:c r="E20" s="28"/>
      <x:c r="F20" s="28"/>
      <x:c r="G20" s="28"/>
      <x:c r="H20" s="28"/>
      <x:c r="I20" s="12" t="s">
        <x:v>146</x:v>
      </x:c>
      <x:c r="J20" s="14" t="s">
        <x:v>147</x:v>
      </x:c>
    </x:row>
    <x:row r="21">
      <x:c r="A21" s="12" t="s">
        <x:v>148</x:v>
      </x:c>
      <x:c r="B21" s="28" t="s">
        <x:v>149</x:v>
      </x:c>
      <x:c r="C21" s="28"/>
      <x:c r="D21" s="28"/>
      <x:c r="E21" s="28"/>
      <x:c r="F21" s="28"/>
      <x:c r="G21" s="28"/>
      <x:c r="H21" s="28"/>
      <x:c r="I21" s="12" t="s">
        <x:v>150</x:v>
      </x:c>
      <x:c r="J21" s="14" t="s">
        <x:v>78</x:v>
      </x:c>
    </x:row>
    <x:row r="22" ht="46.5">
      <x:c r="A22" s="12" t="s">
        <x:v>151</x:v>
      </x:c>
      <x:c r="B22" s="28" t="s">
        <x:v>152</x:v>
      </x:c>
      <x:c r="C22" s="28"/>
      <x:c r="D22" s="28"/>
      <x:c r="E22" s="28"/>
      <x:c r="F22" s="28"/>
      <x:c r="G22" s="28"/>
      <x:c r="H22" s="28"/>
      <x:c r="I22" s="12" t="s">
        <x:v>153</x:v>
      </x:c>
      <x:c r="J22" s="13" t="s">
        <x:v>77</x:v>
      </x:c>
    </x:row>
    <x:row r="23" ht="46.5">
      <x:c r="A23" s="12" t="s">
        <x:v>154</x:v>
      </x:c>
      <x:c r="B23" s="28" t="s">
        <x:v>155</x:v>
      </x:c>
      <x:c r="C23" s="28"/>
      <x:c r="D23" s="28"/>
      <x:c r="E23" s="28"/>
      <x:c r="F23" s="28"/>
      <x:c r="G23" s="28"/>
      <x:c r="H23" s="28"/>
      <x:c r="I23" s="28"/>
      <x:c r="J23" s="28"/>
    </x:row>
    <x:row r="24" ht="46.5">
      <x:c r="A24" s="12" t="s">
        <x:v>156</x:v>
      </x:c>
      <x:c r="B24" s="28" t="s">
        <x:v>157</x:v>
      </x:c>
      <x:c r="C24" s="28"/>
      <x:c r="D24" s="28"/>
      <x:c r="E24" s="28"/>
      <x:c r="F24" s="28"/>
      <x:c r="G24" s="28"/>
      <x:c r="H24" s="28"/>
      <x:c r="I24" s="28"/>
      <x:c r="J24" s="28"/>
    </x:row>
    <x:row r="26">
      <x:c r="A26" s="29" t="s">
        <x:v>158</x:v>
      </x:c>
      <x:c r="B26" s="29" t="s">
        <x:v>159</x:v>
      </x:c>
      <x:c r="C26" s="29"/>
      <x:c r="D26" s="29"/>
      <x:c r="E26" s="29"/>
      <x:c r="F26" s="29"/>
      <x:c r="G26" s="29"/>
      <x:c r="H26" s="29" t="s">
        <x:v>160</x:v>
      </x:c>
      <x:c r="I26" s="29" t="s">
        <x:v>161</x:v>
      </x:c>
      <x:c r="J26" s="29" t="s">
        <x:v>162</x:v>
      </x:c>
    </x:row>
    <x:row r="27" ht="46.5">
      <x:c r="A27" s="29"/>
      <x:c r="B27" s="15" t="s">
        <x:v>163</x:v>
      </x:c>
      <x:c r="C27" s="15" t="s">
        <x:v>164</x:v>
      </x:c>
      <x:c r="D27" s="15" t="s">
        <x:v>165</x:v>
      </x:c>
      <x:c r="E27" s="15" t="s">
        <x:v>166</x:v>
      </x:c>
      <x:c r="F27" s="15" t="s">
        <x:v>167</x:v>
      </x:c>
      <x:c r="G27" s="15" t="s">
        <x:v>168</x:v>
      </x:c>
      <x:c r="H27" s="29"/>
      <x:c r="I27" s="29"/>
      <x:c r="J27" s="29"/>
    </x:row>
    <x:row r="28" ht="162.75">
      <x:c r="A28" s="16" t="s">
        <x:v>169</x:v>
      </x:c>
      <x:c r="B28" s="13" t="s">
        <x:v>170</x:v>
      </x:c>
      <x:c r="C28" s="13" t="s">
        <x:v>171</x:v>
      </x:c>
      <x:c r="D28" s="13" t="s">
        <x:v>172</x:v>
      </x:c>
      <x:c r="E28" s="13" t="s">
        <x:v>173</x:v>
      </x:c>
      <x:c r="F28" s="13" t="s">
        <x:v>174</x:v>
      </x:c>
      <x:c r="G28" s="13" t="s">
        <x:v>175</x:v>
      </x:c>
      <x:c r="H28" s="13" t="s">
        <x:v>176</x:v>
      </x:c>
      <x:c r="I28" s="13" t="s">
        <x:v>176</x:v>
      </x:c>
      <x:c r="J28" s="17" t="s">
        <x:v>5</x:v>
      </x:c>
    </x:row>
    <x:row r="29" ht="93">
      <x:c r="A29" s="16" t="s">
        <x:v>177</x:v>
      </x:c>
      <x:c r="B29" s="13" t="s">
        <x:v>178</x:v>
      </x:c>
      <x:c r="C29" s="13" t="s">
        <x:v>172</x:v>
      </x:c>
      <x:c r="D29" s="13" t="s">
        <x:v>172</x:v>
      </x:c>
      <x:c r="E29" s="13" t="s">
        <x:v>173</x:v>
      </x:c>
      <x:c r="F29" s="13" t="s">
        <x:v>179</x:v>
      </x:c>
      <x:c r="G29" s="13" t="s">
        <x:v>175</x:v>
      </x:c>
      <x:c r="H29" s="13" t="s">
        <x:v>180</x:v>
      </x:c>
      <x:c r="I29" s="13" t="s">
        <x:v>180</x:v>
      </x:c>
      <x:c r="J29" s="17" t="s">
        <x:v>5</x:v>
      </x:c>
    </x:row>
    <x:row r="30">
      <x:c r="A30" s="16" t="s">
        <x:v>181</x:v>
      </x:c>
      <x:c r="B30" s="13" t="s">
        <x:v>179</x:v>
      </x:c>
      <x:c r="C30" s="13" t="s">
        <x:v>171</x:v>
      </x:c>
      <x:c r="D30" s="13" t="s">
        <x:v>172</x:v>
      </x:c>
      <x:c r="E30" s="13" t="s">
        <x:v>173</x:v>
      </x:c>
      <x:c r="F30" s="13" t="s">
        <x:v>174</x:v>
      </x:c>
      <x:c r="G30" s="13" t="s">
        <x:v>175</x:v>
      </x:c>
      <x:c r="H30" s="13" t="s">
        <x:v>182</x:v>
      </x:c>
      <x:c r="I30" s="13" t="s">
        <x:v>182</x:v>
      </x:c>
      <x:c r="J30" s="17" t="s">
        <x:v>5</x:v>
      </x:c>
    </x:row>
    <x:row r="31" ht="46.5">
      <x:c r="A31" s="16" t="s">
        <x:v>183</x:v>
      </x:c>
      <x:c r="B31" s="13" t="s">
        <x:v>184</x:v>
      </x:c>
      <x:c r="C31" s="13" t="s">
        <x:v>171</x:v>
      </x:c>
      <x:c r="D31" s="13" t="s">
        <x:v>172</x:v>
      </x:c>
      <x:c r="E31" s="13" t="s">
        <x:v>173</x:v>
      </x:c>
      <x:c r="F31" s="13" t="s">
        <x:v>174</x:v>
      </x:c>
      <x:c r="G31" s="13" t="s">
        <x:v>175</x:v>
      </x:c>
      <x:c r="H31" s="13" t="s">
        <x:v>185</x:v>
      </x:c>
      <x:c r="I31" s="13" t="s">
        <x:v>185</x:v>
      </x:c>
      <x:c r="J31" s="17" t="s">
        <x:v>5</x:v>
      </x:c>
    </x:row>
    <x:row r="32" ht="46.5">
      <x:c r="A32" s="16" t="s">
        <x:v>186</x:v>
      </x:c>
      <x:c r="B32" s="13" t="s">
        <x:v>178</x:v>
      </x:c>
      <x:c r="C32" s="13" t="s">
        <x:v>179</x:v>
      </x:c>
      <x:c r="D32" s="13" t="s">
        <x:v>172</x:v>
      </x:c>
      <x:c r="E32" s="13" t="s">
        <x:v>173</x:v>
      </x:c>
      <x:c r="F32" s="13" t="s">
        <x:v>174</x:v>
      </x:c>
      <x:c r="G32" s="13" t="s">
        <x:v>175</x:v>
      </x:c>
      <x:c r="H32" s="13" t="s">
        <x:v>187</x:v>
      </x:c>
      <x:c r="I32" s="13" t="s">
        <x:v>188</x:v>
      </x:c>
      <x:c r="J32" s="17" t="s">
        <x:v>5</x:v>
      </x:c>
    </x:row>
    <x:row r="33" ht="46.5">
      <x:c r="A33" s="16" t="s">
        <x:v>189</x:v>
      </x:c>
      <x:c r="B33" s="13" t="s">
        <x:v>178</x:v>
      </x:c>
      <x:c r="C33" s="13" t="s">
        <x:v>190</x:v>
      </x:c>
      <x:c r="D33" s="13" t="s">
        <x:v>172</x:v>
      </x:c>
      <x:c r="E33" s="13" t="s">
        <x:v>173</x:v>
      </x:c>
      <x:c r="F33" s="13" t="s">
        <x:v>174</x:v>
      </x:c>
      <x:c r="G33" s="13" t="s">
        <x:v>175</x:v>
      </x:c>
      <x:c r="H33" s="13" t="s">
        <x:v>185</x:v>
      </x:c>
      <x:c r="I33" s="13" t="s">
        <x:v>185</x:v>
      </x:c>
      <x:c r="J33" s="17" t="s">
        <x:v>5</x:v>
      </x:c>
    </x:row>
    <x:row r="34">
      <x:c r="A34" s="16" t="s">
        <x:v>191</x:v>
      </x:c>
      <x:c r="B34" s="13" t="s">
        <x:v>170</x:v>
      </x:c>
      <x:c r="C34" s="13" t="s">
        <x:v>171</x:v>
      </x:c>
      <x:c r="D34" s="13" t="s">
        <x:v>190</x:v>
      </x:c>
      <x:c r="E34" s="13" t="s">
        <x:v>173</x:v>
      </x:c>
      <x:c r="F34" s="13" t="s">
        <x:v>174</x:v>
      </x:c>
      <x:c r="G34" s="13" t="s">
        <x:v>175</x:v>
      </x:c>
      <x:c r="H34" s="13" t="s">
        <x:v>185</x:v>
      </x:c>
      <x:c r="I34" s="13" t="s">
        <x:v>185</x:v>
      </x:c>
      <x:c r="J34" s="17" t="s">
        <x:v>5</x:v>
      </x:c>
    </x:row>
    <x:row r="35" ht="46.5">
      <x:c r="A35" s="16" t="s">
        <x:v>192</x:v>
      </x:c>
      <x:c r="B35" s="13" t="s">
        <x:v>170</x:v>
      </x:c>
      <x:c r="C35" s="13" t="s">
        <x:v>171</x:v>
      </x:c>
      <x:c r="D35" s="13" t="s">
        <x:v>193</x:v>
      </x:c>
      <x:c r="E35" s="13" t="s">
        <x:v>194</x:v>
      </x:c>
      <x:c r="F35" s="13" t="s">
        <x:v>174</x:v>
      </x:c>
      <x:c r="G35" s="13" t="s">
        <x:v>175</x:v>
      </x:c>
      <x:c r="H35" s="13" t="s">
        <x:v>195</x:v>
      </x:c>
      <x:c r="I35" s="13" t="s">
        <x:v>188</x:v>
      </x:c>
      <x:c r="J35" s="17" t="s">
        <x:v>5</x:v>
      </x:c>
    </x:row>
    <x:row r="36">
      <x:c r="A36" s="16" t="s">
        <x:v>196</x:v>
      </x:c>
      <x:c r="B36" s="13" t="s">
        <x:v>170</x:v>
      </x:c>
      <x:c r="C36" s="13" t="s">
        <x:v>171</x:v>
      </x:c>
      <x:c r="D36" s="13" t="s">
        <x:v>172</x:v>
      </x:c>
      <x:c r="E36" s="13" t="s">
        <x:v>190</x:v>
      </x:c>
      <x:c r="F36" s="13" t="s">
        <x:v>174</x:v>
      </x:c>
      <x:c r="G36" s="13" t="s">
        <x:v>175</x:v>
      </x:c>
      <x:c r="H36" s="13" t="s">
        <x:v>185</x:v>
      </x:c>
      <x:c r="I36" s="13" t="s">
        <x:v>185</x:v>
      </x:c>
      <x:c r="J36" s="17" t="s">
        <x:v>5</x:v>
      </x:c>
    </x:row>
    <x:row r="37" ht="46.5">
      <x:c r="A37" s="16" t="s">
        <x:v>197</x:v>
      </x:c>
      <x:c r="B37" s="13" t="s">
        <x:v>170</x:v>
      </x:c>
      <x:c r="C37" s="13" t="s">
        <x:v>171</x:v>
      </x:c>
      <x:c r="D37" s="13" t="s">
        <x:v>172</x:v>
      </x:c>
      <x:c r="E37" s="13" t="s">
        <x:v>198</x:v>
      </x:c>
      <x:c r="F37" s="13" t="s">
        <x:v>174</x:v>
      </x:c>
      <x:c r="G37" s="13" t="s">
        <x:v>175</x:v>
      </x:c>
      <x:c r="H37" s="13" t="s">
        <x:v>199</x:v>
      </x:c>
      <x:c r="I37" s="13" t="s">
        <x:v>188</x:v>
      </x:c>
      <x:c r="J37" s="17" t="s">
        <x:v>5</x:v>
      </x:c>
    </x:row>
    <x:row r="38" ht="46.5">
      <x:c r="A38" s="16" t="s">
        <x:v>200</x:v>
      </x:c>
      <x:c r="B38" s="13" t="s">
        <x:v>170</x:v>
      </x:c>
      <x:c r="C38" s="13" t="s">
        <x:v>171</x:v>
      </x:c>
      <x:c r="D38" s="13" t="s">
        <x:v>172</x:v>
      </x:c>
      <x:c r="E38" s="13" t="s">
        <x:v>201</x:v>
      </x:c>
      <x:c r="F38" s="13" t="s">
        <x:v>174</x:v>
      </x:c>
      <x:c r="G38" s="13" t="s">
        <x:v>175</x:v>
      </x:c>
      <x:c r="H38" s="13" t="s">
        <x:v>202</x:v>
      </x:c>
      <x:c r="I38" s="13" t="s">
        <x:v>188</x:v>
      </x:c>
      <x:c r="J38" s="17" t="s">
        <x:v>5</x:v>
      </x:c>
    </x:row>
    <x:row r="39" ht="46.5">
      <x:c r="A39" s="16" t="s">
        <x:v>203</x:v>
      </x:c>
      <x:c r="B39" s="13" t="s">
        <x:v>170</x:v>
      </x:c>
      <x:c r="C39" s="13" t="s">
        <x:v>171</x:v>
      </x:c>
      <x:c r="D39" s="13" t="s">
        <x:v>172</x:v>
      </x:c>
      <x:c r="E39" s="13" t="s">
        <x:v>173</x:v>
      </x:c>
      <x:c r="F39" s="13" t="s">
        <x:v>174</x:v>
      </x:c>
      <x:c r="G39" s="13" t="s">
        <x:v>179</x:v>
      </x:c>
      <x:c r="H39" s="13" t="s">
        <x:v>204</x:v>
      </x:c>
      <x:c r="I39" s="13" t="s">
        <x:v>188</x:v>
      </x:c>
      <x:c r="J39" s="17" t="s">
        <x:v>5</x:v>
      </x:c>
    </x:row>
    <x:row r="40">
      <x:c r="A40" s="16" t="s">
        <x:v>205</x:v>
      </x:c>
      <x:c r="B40" s="13" t="s">
        <x:v>170</x:v>
      </x:c>
      <x:c r="C40" s="13" t="s">
        <x:v>171</x:v>
      </x:c>
      <x:c r="D40" s="13" t="s">
        <x:v>172</x:v>
      </x:c>
      <x:c r="E40" s="13" t="s">
        <x:v>173</x:v>
      </x:c>
      <x:c r="F40" s="13" t="s">
        <x:v>190</x:v>
      </x:c>
      <x:c r="G40" s="13" t="s">
        <x:v>175</x:v>
      </x:c>
      <x:c r="H40" s="13" t="s">
        <x:v>185</x:v>
      </x:c>
      <x:c r="I40" s="13" t="s">
        <x:v>185</x:v>
      </x:c>
      <x:c r="J40" s="17" t="s">
        <x:v>5</x:v>
      </x:c>
    </x:row>
    <x:row r="41" ht="46.5">
      <x:c r="A41" s="16" t="s">
        <x:v>206</x:v>
      </x:c>
      <x:c r="B41" s="13" t="s">
        <x:v>170</x:v>
      </x:c>
      <x:c r="C41" s="13" t="s">
        <x:v>171</x:v>
      </x:c>
      <x:c r="D41" s="13" t="s">
        <x:v>172</x:v>
      </x:c>
      <x:c r="E41" s="13" t="s">
        <x:v>173</x:v>
      </x:c>
      <x:c r="F41" s="13" t="s">
        <x:v>207</x:v>
      </x:c>
      <x:c r="G41" s="13" t="s">
        <x:v>175</x:v>
      </x:c>
      <x:c r="H41" s="13" t="s">
        <x:v>208</x:v>
      </x:c>
      <x:c r="I41" s="13" t="s">
        <x:v>188</x:v>
      </x:c>
      <x:c r="J41" s="17" t="s">
        <x:v>5</x:v>
      </x:c>
    </x:row>
    <x:row r="42" ht="46.5">
      <x:c r="A42" s="16" t="s">
        <x:v>209</x:v>
      </x:c>
      <x:c r="B42" s="13" t="s">
        <x:v>170</x:v>
      </x:c>
      <x:c r="C42" s="13" t="s">
        <x:v>171</x:v>
      </x:c>
      <x:c r="D42" s="13" t="s">
        <x:v>172</x:v>
      </x:c>
      <x:c r="E42" s="13" t="s">
        <x:v>173</x:v>
      </x:c>
      <x:c r="F42" s="13" t="s">
        <x:v>210</x:v>
      </x:c>
      <x:c r="G42" s="13" t="s">
        <x:v>175</x:v>
      </x:c>
      <x:c r="H42" s="13" t="s">
        <x:v>211</x:v>
      </x:c>
      <x:c r="I42" s="13" t="s">
        <x:v>188</x:v>
      </x:c>
      <x:c r="J42" s="17" t="s">
        <x:v>5</x:v>
      </x:c>
    </x:row>
  </x:sheetData>
  <x:mergeCells>
    <x:mergeCell ref="A1:J1"/>
    <x:mergeCell ref="F2:G2"/>
    <x:mergeCell ref="B3:D3"/>
    <x:mergeCell ref="G3:J3"/>
    <x:mergeCell ref="B4:D4"/>
    <x:mergeCell ref="G4:J4"/>
    <x:mergeCell ref="B5:D5"/>
    <x:mergeCell ref="G5:J5"/>
    <x:mergeCell ref="B6:D6"/>
    <x:mergeCell ref="G6:J6"/>
    <x:mergeCell ref="B7:D7"/>
    <x:mergeCell ref="G7:J7"/>
    <x:mergeCell ref="A18:J18"/>
    <x:mergeCell ref="B8:D8"/>
    <x:mergeCell ref="G8:J8"/>
    <x:mergeCell ref="B9:D9"/>
    <x:mergeCell ref="G9:J9"/>
    <x:mergeCell ref="G10:J10"/>
    <x:mergeCell ref="G11:J11"/>
    <x:mergeCell ref="G12:J12"/>
    <x:mergeCell ref="G13:J13"/>
    <x:mergeCell ref="G14:J14"/>
    <x:mergeCell ref="G15:J15"/>
    <x:mergeCell ref="G16:J16"/>
    <x:mergeCell ref="A26:A27"/>
    <x:mergeCell ref="B26:G26"/>
    <x:mergeCell ref="H26:H27"/>
    <x:mergeCell ref="I26:I27"/>
    <x:mergeCell ref="J26:J27"/>
    <x:mergeCell ref="B20:H20"/>
    <x:mergeCell ref="B21:H21"/>
    <x:mergeCell ref="B22:H22"/>
    <x:mergeCell ref="B23:J23"/>
    <x:mergeCell ref="B24:J24"/>
  </x:mergeCells>
  <x:conditionalFormatting sqref="J28:J42">
    <x:cfRule type="cellIs" dxfId="107" priority="1" operator="equal">
      <x:formula>"Pass"</x:formula>
    </x:cfRule>
    <x:cfRule type="cellIs" dxfId="106" priority="2" operator="equal">
      <x:formula>"Fail"</x:formula>
    </x:cfRule>
    <x:cfRule type="cellIs" dxfId="105" priority="3" operator="equal">
      <x:formula>"Block"</x:formula>
    </x:cfRule>
  </x:conditionalFormatting>
  <x:dataValidations count="1">
    <x:dataValidation type="list" allowBlank="1" sqref="J28:J42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7.625" defaultRowHeight="23.25"/>
  <x:cols>
    <x:col min="1" max="1" width="29.75" style="8" customWidth="1"/>
    <x:col min="2" max="5" width="14" style="8" customWidth="1"/>
    <x:col min="6" max="6" width="36.75" style="8" customWidth="1"/>
    <x:col min="7" max="7" width="23.75" style="8" customWidth="1"/>
    <x:col min="8" max="8" width="14.875" style="8" customWidth="1"/>
    <x:col min="9" max="9" width="12.125" style="8" customWidth="1"/>
    <x:col min="10" max="16384" width="7.625" style="8" customWidth="0"/>
  </x:cols>
  <x:sheetData>
    <x:row r="1">
      <x:c r="A1" s="18" t="s">
        <x:v>104</x:v>
      </x:c>
      <x:c r="B1" s="19" t="s">
        <x:v>212</x:v>
      </x:c>
      <x:c r="C1" s="19" t="s">
        <x:v>213</x:v>
      </x:c>
      <x:c r="D1" s="19" t="s">
        <x:v>214</x:v>
      </x:c>
      <x:c r="E1" s="19" t="s">
        <x:v>215</x:v>
      </x:c>
      <x:c r="F1" s="19" t="s">
        <x:v>216</x:v>
      </x:c>
      <x:c r="G1" s="19" t="s">
        <x:v>217</x:v>
      </x:c>
      <x:c r="H1" s="19" t="s">
        <x:v>218</x:v>
      </x:c>
      <x:c r="I1" s="19" t="s">
        <x:v>219</x:v>
      </x:c>
    </x:row>
    <x:row r="2">
      <x:c r="A2" s="13" t="s">
        <x:v>220</x:v>
      </x:c>
      <x:c r="B2" s="17" t="s">
        <x:v>221</x:v>
      </x:c>
      <x:c r="C2" s="17" t="s">
        <x:v>221</x:v>
      </x:c>
      <x:c r="D2" s="17" t="s">
        <x:v>222</x:v>
      </x:c>
      <x:c r="E2" s="17" t="s">
        <x:v>221</x:v>
      </x:c>
      <x:c r="F2" s="17" t="s">
        <x:v>221</x:v>
      </x:c>
      <x:c r="G2" s="17" t="s">
        <x:v>221</x:v>
      </x:c>
      <x:c r="H2" s="17" t="s">
        <x:v>222</x:v>
      </x:c>
      <x:c r="I2" s="17" t="s">
        <x:v>222</x:v>
      </x:c>
    </x:row>
    <x:row r="3" ht="46.5">
      <x:c r="A3" s="13" t="s">
        <x:v>223</x:v>
      </x:c>
      <x:c r="B3" s="17" t="s">
        <x:v>221</x:v>
      </x:c>
      <x:c r="C3" s="17" t="s">
        <x:v>222</x:v>
      </x:c>
      <x:c r="D3" s="17" t="s">
        <x:v>171</x:v>
      </x:c>
      <x:c r="E3" s="17" t="s">
        <x:v>222</x:v>
      </x:c>
      <x:c r="F3" s="17" t="s">
        <x:v>222</x:v>
      </x:c>
      <x:c r="G3" s="17" t="s">
        <x:v>222</x:v>
      </x:c>
      <x:c r="H3" s="17" t="s">
        <x:v>171</x:v>
      </x:c>
      <x:c r="I3" s="17" t="s">
        <x:v>171</x:v>
      </x:c>
    </x:row>
    <x:row r="4">
      <x:c r="A4" s="13" t="s">
        <x:v>224</x:v>
      </x:c>
      <x:c r="B4" s="17" t="s">
        <x:v>171</x:v>
      </x:c>
      <x:c r="C4" s="17" t="s">
        <x:v>221</x:v>
      </x:c>
      <x:c r="D4" s="17" t="s">
        <x:v>171</x:v>
      </x:c>
      <x:c r="E4" s="17" t="s">
        <x:v>222</x:v>
      </x:c>
      <x:c r="F4" s="17" t="s">
        <x:v>222</x:v>
      </x:c>
      <x:c r="G4" s="17" t="s">
        <x:v>222</x:v>
      </x:c>
      <x:c r="H4" s="17" t="s">
        <x:v>171</x:v>
      </x:c>
      <x:c r="I4" s="17" t="s">
        <x:v>171</x:v>
      </x:c>
    </x:row>
    <x:row r="5" ht="46.5">
      <x:c r="A5" s="13" t="s">
        <x:v>225</x:v>
      </x:c>
      <x:c r="B5" s="17" t="s">
        <x:v>171</x:v>
      </x:c>
      <x:c r="C5" s="17" t="s">
        <x:v>171</x:v>
      </x:c>
      <x:c r="D5" s="17" t="s">
        <x:v>222</x:v>
      </x:c>
      <x:c r="E5" s="17" t="s">
        <x:v>171</x:v>
      </x:c>
      <x:c r="F5" s="17" t="s">
        <x:v>171</x:v>
      </x:c>
      <x:c r="G5" s="17" t="s">
        <x:v>171</x:v>
      </x:c>
      <x:c r="H5" s="17" t="s">
        <x:v>221</x:v>
      </x:c>
      <x:c r="I5" s="17" t="s">
        <x:v>221</x:v>
      </x:c>
    </x:row>
    <x:row r="6">
      <x:c r="A6" s="13" t="s">
        <x:v>226</x:v>
      </x:c>
      <x:c r="B6" s="17" t="s">
        <x:v>171</x:v>
      </x:c>
      <x:c r="C6" s="17" t="s">
        <x:v>171</x:v>
      </x:c>
      <x:c r="D6" s="17" t="s">
        <x:v>171</x:v>
      </x:c>
      <x:c r="E6" s="17" t="s">
        <x:v>221</x:v>
      </x:c>
      <x:c r="F6" s="17" t="s">
        <x:v>221</x:v>
      </x:c>
      <x:c r="G6" s="17" t="s">
        <x:v>221</x:v>
      </x:c>
      <x:c r="H6" s="17" t="s">
        <x:v>222</x:v>
      </x:c>
      <x:c r="I6" s="17" t="s">
        <x:v>222</x:v>
      </x:c>
    </x:row>
    <x:row r="7" ht="46.5">
      <x:c r="A7" s="13" t="s">
        <x:v>227</x:v>
      </x:c>
      <x:c r="B7" s="17" t="s">
        <x:v>171</x:v>
      </x:c>
      <x:c r="C7" s="17" t="s">
        <x:v>171</x:v>
      </x:c>
      <x:c r="D7" s="17" t="s">
        <x:v>171</x:v>
      </x:c>
      <x:c r="E7" s="17" t="s">
        <x:v>222</x:v>
      </x:c>
      <x:c r="F7" s="17" t="s">
        <x:v>221</x:v>
      </x:c>
      <x:c r="G7" s="17" t="s">
        <x:v>221</x:v>
      </x:c>
      <x:c r="H7" s="17" t="s">
        <x:v>171</x:v>
      </x:c>
      <x:c r="I7" s="17" t="s">
        <x:v>171</x:v>
      </x:c>
    </x:row>
    <x:row r="8" ht="46.5">
      <x:c r="A8" s="13" t="s">
        <x:v>228</x:v>
      </x:c>
      <x:c r="B8" s="17" t="s">
        <x:v>171</x:v>
      </x:c>
      <x:c r="C8" s="17" t="s">
        <x:v>171</x:v>
      </x:c>
      <x:c r="D8" s="17" t="s">
        <x:v>171</x:v>
      </x:c>
      <x:c r="E8" s="17" t="s">
        <x:v>171</x:v>
      </x:c>
      <x:c r="F8" s="17" t="s">
        <x:v>222</x:v>
      </x:c>
      <x:c r="G8" s="17" t="s">
        <x:v>221</x:v>
      </x:c>
      <x:c r="H8" s="17" t="s">
        <x:v>222</x:v>
      </x:c>
      <x:c r="I8" s="17" t="s">
        <x:v>221</x:v>
      </x:c>
    </x:row>
    <x:row r="9">
      <x:c r="A9" s="18" t="s">
        <x:v>229</x:v>
      </x:c>
      <x:c r="B9" s="20"/>
      <x:c r="C9" s="20"/>
      <x:c r="D9" s="20"/>
      <x:c r="E9" s="20"/>
      <x:c r="F9" s="20"/>
      <x:c r="G9" s="20"/>
      <x:c r="H9" s="20"/>
      <x:c r="I9" s="20"/>
    </x:row>
    <x:row r="10" ht="46.5">
      <x:c r="A10" s="13" t="s">
        <x:v>230</x:v>
      </x:c>
      <x:c r="B10" s="17" t="s">
        <x:v>231</x:v>
      </x:c>
      <x:c r="C10" s="17"/>
      <x:c r="D10" s="17"/>
      <x:c r="E10" s="17"/>
      <x:c r="F10" s="17"/>
      <x:c r="G10" s="17"/>
      <x:c r="H10" s="17"/>
      <x:c r="I10" s="17"/>
    </x:row>
    <x:row r="11" ht="46.5">
      <x:c r="A11" s="13" t="s">
        <x:v>232</x:v>
      </x:c>
      <x:c r="B11" s="17"/>
      <x:c r="C11" s="17" t="s">
        <x:v>231</x:v>
      </x:c>
      <x:c r="D11" s="17"/>
      <x:c r="E11" s="17"/>
      <x:c r="F11" s="17"/>
      <x:c r="G11" s="17"/>
      <x:c r="H11" s="17"/>
      <x:c r="I11" s="17"/>
    </x:row>
    <x:row r="12" ht="46.5">
      <x:c r="A12" s="13" t="s">
        <x:v>233</x:v>
      </x:c>
      <x:c r="B12" s="17"/>
      <x:c r="C12" s="17"/>
      <x:c r="D12" s="17" t="s">
        <x:v>231</x:v>
      </x:c>
      <x:c r="E12" s="17"/>
      <x:c r="F12" s="17"/>
      <x:c r="G12" s="17"/>
      <x:c r="H12" s="17"/>
      <x:c r="I12" s="17"/>
    </x:row>
    <x:row r="13" ht="46.5">
      <x:c r="A13" s="13" t="s">
        <x:v>234</x:v>
      </x:c>
      <x:c r="B13" s="17"/>
      <x:c r="C13" s="17"/>
      <x:c r="D13" s="17"/>
      <x:c r="E13" s="17" t="s">
        <x:v>231</x:v>
      </x:c>
      <x:c r="F13" s="17"/>
      <x:c r="G13" s="17"/>
      <x:c r="H13" s="17"/>
      <x:c r="I13" s="17"/>
    </x:row>
    <x:row r="14" ht="46.5">
      <x:c r="A14" s="13" t="s">
        <x:v>235</x:v>
      </x:c>
      <x:c r="B14" s="17"/>
      <x:c r="C14" s="17"/>
      <x:c r="D14" s="17"/>
      <x:c r="E14" s="17"/>
      <x:c r="F14" s="17" t="s">
        <x:v>231</x:v>
      </x:c>
      <x:c r="G14" s="17"/>
      <x:c r="H14" s="17" t="s">
        <x:v>231</x:v>
      </x:c>
      <x:c r="I14" s="17"/>
    </x:row>
    <x:row r="15" ht="46.5">
      <x:c r="A15" s="13" t="s">
        <x:v>236</x:v>
      </x:c>
      <x:c r="B15" s="17"/>
      <x:c r="C15" s="17"/>
      <x:c r="D15" s="17"/>
      <x:c r="E15" s="17"/>
      <x:c r="F15" s="17"/>
      <x:c r="G15" s="17" t="s">
        <x:v>231</x:v>
      </x:c>
      <x:c r="H15" s="17"/>
      <x:c r="I15" s="17" t="s">
        <x:v>231</x:v>
      </x:c>
    </x:row>
    <x:row r="16">
      <x:c r="A16" s="13" t="s">
        <x:v>237</x:v>
      </x:c>
      <x:c r="B16" s="17"/>
      <x:c r="C16" s="17"/>
      <x:c r="D16" s="17"/>
      <x:c r="E16" s="17"/>
      <x:c r="F16" s="17"/>
      <x:c r="G16" s="17"/>
      <x:c r="H16" s="17"/>
      <x:c r="I16" s="17"/>
    </x:row>
    <x:row r="17">
      <x:c r="A17" s="35" t="s">
        <x:v>238</x:v>
      </x:c>
      <x:c r="B17" s="35"/>
      <x:c r="C17" s="35"/>
      <x:c r="D17" s="35"/>
      <x:c r="E17" s="35"/>
      <x:c r="F17" s="35"/>
      <x:c r="G17" s="35"/>
      <x:c r="H17" s="35"/>
      <x:c r="I17" s="35"/>
    </x:row>
    <x:row r="19">
      <x:c r="A19" s="30" t="s">
        <x:v>143</x:v>
      </x:c>
      <x:c r="B19" s="30"/>
      <x:c r="C19" s="30"/>
      <x:c r="D19" s="30"/>
      <x:c r="E19" s="30"/>
      <x:c r="F19" s="30"/>
      <x:c r="G19" s="30"/>
      <x:c r="H19" s="30"/>
      <x:c r="I19" s="30"/>
    </x:row>
    <x:row r="21" ht="46.5">
      <x:c r="A21" s="12" t="s">
        <x:v>144</x:v>
      </x:c>
      <x:c r="B21" s="28" t="s">
        <x:v>239</x:v>
      </x:c>
      <x:c r="C21" s="28"/>
      <x:c r="D21" s="28"/>
      <x:c r="E21" s="28"/>
      <x:c r="F21" s="28"/>
      <x:c r="G21" s="21"/>
      <x:c r="H21" s="12" t="s">
        <x:v>146</x:v>
      </x:c>
      <x:c r="I21" s="14" t="s">
        <x:v>147</x:v>
      </x:c>
    </x:row>
    <x:row r="22" ht="46.5">
      <x:c r="A22" s="12" t="s">
        <x:v>148</x:v>
      </x:c>
      <x:c r="B22" s="28" t="s">
        <x:v>240</x:v>
      </x:c>
      <x:c r="C22" s="28"/>
      <x:c r="D22" s="28"/>
      <x:c r="E22" s="28"/>
      <x:c r="F22" s="28"/>
      <x:c r="G22" s="21"/>
      <x:c r="H22" s="12" t="s">
        <x:v>150</x:v>
      </x:c>
      <x:c r="I22" s="14" t="s">
        <x:v>78</x:v>
      </x:c>
    </x:row>
    <x:row r="23" ht="49.5" customHeight="1">
      <x:c r="A23" s="12" t="s">
        <x:v>151</x:v>
      </x:c>
      <x:c r="B23" s="36" t="s">
        <x:v>152</x:v>
      </x:c>
      <x:c r="C23" s="37"/>
      <x:c r="D23" s="37"/>
      <x:c r="E23" s="37"/>
      <x:c r="F23" s="38"/>
      <x:c r="G23" s="21"/>
      <x:c r="H23" s="12" t="s">
        <x:v>153</x:v>
      </x:c>
      <x:c r="I23" s="13" t="s">
        <x:v>77</x:v>
      </x:c>
    </x:row>
    <x:row r="24">
      <x:c r="A24" s="12" t="s">
        <x:v>154</x:v>
      </x:c>
      <x:c r="B24" s="28" t="s">
        <x:v>241</x:v>
      </x:c>
      <x:c r="C24" s="28"/>
      <x:c r="D24" s="28"/>
      <x:c r="E24" s="28"/>
      <x:c r="F24" s="28"/>
      <x:c r="G24" s="28"/>
      <x:c r="H24" s="28"/>
      <x:c r="I24" s="28"/>
    </x:row>
    <x:row r="25">
      <x:c r="A25" s="12" t="s">
        <x:v>156</x:v>
      </x:c>
      <x:c r="B25" s="28" t="s">
        <x:v>242</x:v>
      </x:c>
      <x:c r="C25" s="28"/>
      <x:c r="D25" s="28"/>
      <x:c r="E25" s="28"/>
      <x:c r="F25" s="28"/>
      <x:c r="G25" s="28"/>
      <x:c r="H25" s="28"/>
      <x:c r="I25" s="28"/>
    </x:row>
    <x:row r="27">
      <x:c r="A27" s="29" t="s">
        <x:v>243</x:v>
      </x:c>
      <x:c r="B27" s="29" t="s">
        <x:v>158</x:v>
      </x:c>
      <x:c r="C27" s="29" t="s">
        <x:v>159</x:v>
      </x:c>
      <x:c r="D27" s="29"/>
      <x:c r="E27" s="29"/>
      <x:c r="F27" s="29" t="s">
        <x:v>160</x:v>
      </x:c>
      <x:c r="G27" s="29" t="s">
        <x:v>161</x:v>
      </x:c>
      <x:c r="H27" s="29" t="s">
        <x:v>162</x:v>
      </x:c>
    </x:row>
    <x:row r="28" ht="46.5">
      <x:c r="A28" s="29"/>
      <x:c r="B28" s="29"/>
      <x:c r="C28" s="15" t="s">
        <x:v>167</x:v>
      </x:c>
      <x:c r="D28" s="15" t="s">
        <x:v>244</x:v>
      </x:c>
      <x:c r="E28" s="15" t="s">
        <x:v>245</x:v>
      </x:c>
      <x:c r="F28" s="29"/>
      <x:c r="G28" s="29"/>
      <x:c r="H28" s="29"/>
    </x:row>
    <x:row r="29" ht="69.75">
      <x:c r="A29" s="17" t="s">
        <x:v>246</x:v>
      </x:c>
      <x:c r="B29" s="16" t="s">
        <x:v>247</x:v>
      </x:c>
      <x:c r="C29" s="13" t="s">
        <x:v>174</x:v>
      </x:c>
      <x:c r="D29" s="13" t="s">
        <x:v>179</x:v>
      </x:c>
      <x:c r="E29" s="13" t="s">
        <x:v>248</x:v>
      </x:c>
      <x:c r="F29" s="13" t="s">
        <x:v>249</x:v>
      </x:c>
      <x:c r="G29" s="13" t="s">
        <x:v>249</x:v>
      </x:c>
      <x:c r="H29" s="17" t="s">
        <x:v>5</x:v>
      </x:c>
    </x:row>
    <x:row r="30" ht="93">
      <x:c r="A30" s="17" t="s">
        <x:v>246</x:v>
      </x:c>
      <x:c r="B30" s="16" t="s">
        <x:v>250</x:v>
      </x:c>
      <x:c r="C30" s="13" t="s">
        <x:v>174</x:v>
      </x:c>
      <x:c r="D30" s="13" t="s">
        <x:v>179</x:v>
      </x:c>
      <x:c r="E30" s="13" t="s">
        <x:v>251</x:v>
      </x:c>
      <x:c r="F30" s="13" t="str">
        <x:v>UT02-TC002 passed: therapist outside shift is rejected.</x:v>
      </x:c>
      <x:c r="G30" s="13" t="str">
        <x:v>Pass</x:v>
      </x:c>
      <x:c r="H30" s="17" t="s">
        <x:v>5</x:v>
      </x:c>
    </x:row>
    <x:row r="31" ht="93">
      <x:c r="A31" s="17" t="s">
        <x:v>252</x:v>
      </x:c>
      <x:c r="B31" s="16" t="s">
        <x:v>253</x:v>
      </x:c>
      <x:c r="C31" s="13" t="s">
        <x:v>174</x:v>
      </x:c>
      <x:c r="D31" s="13" t="s">
        <x:v>179</x:v>
      </x:c>
      <x:c r="E31" s="13" t="s">
        <x:v>254</x:v>
      </x:c>
      <x:c r="F31" s="13" t="s">
        <x:v>255</x:v>
      </x:c>
      <x:c r="G31" s="13" t="s">
        <x:v>249</x:v>
      </x:c>
      <x:c r="H31" s="17" t="s">
        <x:v>5</x:v>
      </x:c>
    </x:row>
    <x:row r="32" ht="93">
      <x:c r="A32" s="17" t="s">
        <x:v>256</x:v>
      </x:c>
      <x:c r="B32" s="16" t="s">
        <x:v>257</x:v>
      </x:c>
      <x:c r="C32" s="13" t="s">
        <x:v>179</x:v>
      </x:c>
      <x:c r="D32" s="13" t="s">
        <x:v>179</x:v>
      </x:c>
      <x:c r="E32" s="13" t="s">
        <x:v>258</x:v>
      </x:c>
      <x:c r="F32" s="13" t="s">
        <x:v>259</x:v>
      </x:c>
      <x:c r="G32" s="13" t="s">
        <x:v>249</x:v>
      </x:c>
      <x:c r="H32" s="17" t="s">
        <x:v>5</x:v>
      </x:c>
    </x:row>
    <x:row r="33" ht="46.5">
      <x:c r="A33" s="17" t="s">
        <x:v>260</x:v>
      </x:c>
      <x:c r="B33" s="16" t="s">
        <x:v>261</x:v>
      </x:c>
      <x:c r="C33" s="13" t="s">
        <x:v>174</x:v>
      </x:c>
      <x:c r="D33" s="13" t="s">
        <x:v>262</x:v>
      </x:c>
      <x:c r="E33" s="13" t="s">
        <x:v>263</x:v>
      </x:c>
      <x:c r="F33" s="13" t="s">
        <x:v>264</x:v>
      </x:c>
      <x:c r="G33" s="13" t="s">
        <x:v>188</x:v>
      </x:c>
      <x:c r="H33" s="17" t="s">
        <x:v>5</x:v>
      </x:c>
    </x:row>
    <x:row r="34" ht="46.5">
      <x:c r="A34" s="17" t="s">
        <x:v>260</x:v>
      </x:c>
      <x:c r="B34" s="16" t="s">
        <x:v>265</x:v>
      </x:c>
      <x:c r="C34" s="13" t="s">
        <x:v>174</x:v>
      </x:c>
      <x:c r="D34" s="13" t="s">
        <x:v>266</x:v>
      </x:c>
      <x:c r="E34" s="13" t="s">
        <x:v>263</x:v>
      </x:c>
      <x:c r="F34" s="13" t="s">
        <x:v>267</x:v>
      </x:c>
      <x:c r="G34" s="13" t="s">
        <x:v>188</x:v>
      </x:c>
      <x:c r="H34" s="17" t="s">
        <x:v>5</x:v>
      </x:c>
    </x:row>
    <x:row r="35" ht="69.75">
      <x:c r="A35" s="17" t="s">
        <x:v>268</x:v>
      </x:c>
      <x:c r="B35" s="16" t="s">
        <x:v>269</x:v>
      </x:c>
      <x:c r="C35" s="13" t="s">
        <x:v>174</x:v>
      </x:c>
      <x:c r="D35" s="13" t="s">
        <x:v>270</x:v>
      </x:c>
      <x:c r="E35" s="13" t="s">
        <x:v>271</x:v>
      </x:c>
      <x:c r="F35" s="13" t="s">
        <x:v>272</x:v>
      </x:c>
      <x:c r="G35" s="13" t="s">
        <x:v>249</x:v>
      </x:c>
      <x:c r="H35" s="17" t="s">
        <x:v>5</x:v>
      </x:c>
    </x:row>
    <x:row r="36" ht="46.5">
      <x:c r="A36" s="17" t="s">
        <x:v>273</x:v>
      </x:c>
      <x:c r="B36" s="16" t="s">
        <x:v>274</x:v>
      </x:c>
      <x:c r="C36" s="13" t="s">
        <x:v>174</x:v>
      </x:c>
      <x:c r="D36" s="13" t="s">
        <x:v>275</x:v>
      </x:c>
      <x:c r="E36" s="13" t="s">
        <x:v>276</x:v>
      </x:c>
      <x:c r="F36" s="13" t="s">
        <x:v>277</x:v>
      </x:c>
      <x:c r="G36" s="13" t="s">
        <x:v>277</x:v>
      </x:c>
      <x:c r="H36" s="17" t="s">
        <x:v>5</x:v>
      </x:c>
    </x:row>
    <x:row r="37" ht="69.75">
      <x:c r="A37" s="17" t="s">
        <x:v>278</x:v>
      </x:c>
      <x:c r="B37" s="16" t="s">
        <x:v>279</x:v>
      </x:c>
      <x:c r="C37" s="13" t="s">
        <x:v>179</x:v>
      </x:c>
      <x:c r="D37" s="13" t="s">
        <x:v>179</x:v>
      </x:c>
      <x:c r="E37" s="13" t="s">
        <x:v>280</x:v>
      </x:c>
      <x:c r="F37" s="13" t="s">
        <x:v>281</x:v>
      </x:c>
      <x:c r="G37" s="13" t="s">
        <x:v>249</x:v>
      </x:c>
      <x:c r="H37" s="17" t="s">
        <x:v>5</x:v>
      </x:c>
    </x:row>
    <x:row r="38" ht="93">
      <x:c r="A38" s="17" t="s">
        <x:v>282</x:v>
      </x:c>
      <x:c r="B38" s="16" t="s">
        <x:v>283</x:v>
      </x:c>
      <x:c r="C38" s="13" t="s">
        <x:v>179</x:v>
      </x:c>
      <x:c r="D38" s="13" t="s">
        <x:v>179</x:v>
      </x:c>
      <x:c r="E38" s="13" t="s">
        <x:v>284</x:v>
      </x:c>
      <x:c r="F38" s="13" t="s">
        <x:v>285</x:v>
      </x:c>
      <x:c r="G38" s="13" t="s">
        <x:v>286</x:v>
      </x:c>
      <x:c r="H38" s="17" t="s">
        <x:v>5</x:v>
      </x:c>
    </x:row>
  </x:sheetData>
  <x:mergeCells>
    <x:mergeCell ref="B25:I25"/>
    <x:mergeCell ref="A27:A28"/>
    <x:mergeCell ref="B27:B28"/>
    <x:mergeCell ref="C27:E27"/>
    <x:mergeCell ref="F27:F28"/>
    <x:mergeCell ref="G27:G28"/>
    <x:mergeCell ref="H27:H28"/>
    <x:mergeCell ref="B24:I24"/>
    <x:mergeCell ref="A17:I17"/>
    <x:mergeCell ref="A19:I19"/>
    <x:mergeCell ref="B21:F21"/>
    <x:mergeCell ref="B22:F22"/>
    <x:mergeCell ref="B23:F23"/>
  </x:mergeCells>
  <x:conditionalFormatting sqref="H29:H38">
    <x:cfRule type="cellIs" dxfId="104" priority="1" operator="equal">
      <x:formula>"Pass"</x:formula>
    </x:cfRule>
    <x:cfRule type="cellIs" dxfId="103" priority="2" operator="equal">
      <x:formula>"Fail"</x:formula>
    </x:cfRule>
    <x:cfRule type="cellIs" dxfId="102" priority="3" operator="equal">
      <x:formula>"Block"</x:formula>
    </x:cfRule>
  </x:conditionalFormatting>
  <x:dataValidations count="1">
    <x:dataValidation type="list" allowBlank="1" sqref="H29:H38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4" width="14.875" style="8" customWidth="1"/>
    <x:col min="5" max="5" width="35" style="8" customWidth="1"/>
    <x:col min="6" max="6" width="15.75" style="8" customWidth="1"/>
    <x:col min="7" max="7" width="14.875" style="8" customWidth="1"/>
    <x:col min="8" max="9" width="7.625" style="8" customWidth="0"/>
    <x:col min="10" max="10" width="8.75" style="8" customWidth="1"/>
    <x:col min="11" max="12" width="19.25" style="8" customWidth="1"/>
    <x:col min="13" max="16384" width="7.625" style="8" customWidth="0"/>
  </x:cols>
  <x:sheetData>
    <x:row r="1" ht="46.5">
      <x:c r="A1" s="30" t="s">
        <x:v>143</x:v>
      </x:c>
      <x:c r="B1" s="30"/>
      <x:c r="C1" s="30"/>
      <x:c r="D1" s="30"/>
      <x:c r="E1" s="30"/>
      <x:c r="F1" s="30"/>
      <x:c r="G1" s="30"/>
      <x:c r="J1" s="13"/>
      <x:c r="K1" s="15" t="s">
        <x:v>287</x:v>
      </x:c>
      <x:c r="L1" s="15" t="s">
        <x:v>288</x:v>
      </x:c>
    </x:row>
    <x:row r="2">
      <x:c r="J2" s="17" t="s">
        <x:v>289</x:v>
      </x:c>
      <x:c r="K2" s="17" t="s">
        <x:v>290</x:v>
      </x:c>
      <x:c r="L2" s="17" t="s">
        <x:v>291</x:v>
      </x:c>
    </x:row>
    <x:row r="3">
      <x:c r="A3" s="12" t="s">
        <x:v>144</x:v>
      </x:c>
      <x:c r="B3" s="28" t="s">
        <x:v>292</x:v>
      </x:c>
      <x:c r="C3" s="28"/>
      <x:c r="D3" s="28"/>
      <x:c r="E3" s="28"/>
      <x:c r="F3" s="12" t="s">
        <x:v>146</x:v>
      </x:c>
      <x:c r="G3" s="14" t="s">
        <x:v>147</x:v>
      </x:c>
      <x:c r="J3" s="17" t="s">
        <x:v>293</x:v>
      </x:c>
      <x:c r="K3" s="17" t="s">
        <x:v>294</x:v>
      </x:c>
      <x:c r="L3" s="17" t="s">
        <x:v>295</x:v>
      </x:c>
    </x:row>
    <x:row r="4">
      <x:c r="A4" s="12" t="s">
        <x:v>148</x:v>
      </x:c>
      <x:c r="B4" s="28" t="s">
        <x:v>296</x:v>
      </x:c>
      <x:c r="C4" s="28"/>
      <x:c r="D4" s="28"/>
      <x:c r="E4" s="28"/>
      <x:c r="F4" s="12" t="s">
        <x:v>150</x:v>
      </x:c>
      <x:c r="G4" s="14" t="s">
        <x:v>78</x:v>
      </x:c>
      <x:c r="J4" s="17" t="s">
        <x:v>297</x:v>
      </x:c>
      <x:c r="K4" s="17" t="s">
        <x:v>194</x:v>
      </x:c>
      <x:c r="L4" s="17" t="s">
        <x:v>298</x:v>
      </x:c>
    </x:row>
    <x:row r="5" ht="46.5">
      <x:c r="A5" s="12" t="s">
        <x:v>151</x:v>
      </x:c>
      <x:c r="B5" s="28" t="s">
        <x:v>152</x:v>
      </x:c>
      <x:c r="C5" s="28"/>
      <x:c r="D5" s="28"/>
      <x:c r="E5" s="28"/>
      <x:c r="F5" s="12" t="s">
        <x:v>153</x:v>
      </x:c>
      <x:c r="G5" s="13" t="s">
        <x:v>77</x:v>
      </x:c>
      <x:c r="J5" s="17" t="s">
        <x:v>299</x:v>
      </x:c>
      <x:c r="K5" s="17" t="s">
        <x:v>300</x:v>
      </x:c>
      <x:c r="L5" s="17" t="s">
        <x:v>301</x:v>
      </x:c>
    </x:row>
    <x:row r="6" ht="46.5">
      <x:c r="A6" s="12" t="s">
        <x:v>154</x:v>
      </x:c>
      <x:c r="B6" s="28" t="s">
        <x:v>302</x:v>
      </x:c>
      <x:c r="C6" s="28"/>
      <x:c r="D6" s="28"/>
      <x:c r="E6" s="28"/>
      <x:c r="F6" s="28"/>
      <x:c r="G6" s="28"/>
      <x:c r="J6" s="17" t="s">
        <x:v>303</x:v>
      </x:c>
      <x:c r="K6" s="17" t="s">
        <x:v>304</x:v>
      </x:c>
      <x:c r="L6" s="17" t="s">
        <x:v>305</x:v>
      </x:c>
    </x:row>
    <x:row r="7" ht="46.5">
      <x:c r="A7" s="12" t="s">
        <x:v>156</x:v>
      </x:c>
      <x:c r="B7" s="28" t="s">
        <x:v>306</x:v>
      </x:c>
      <x:c r="C7" s="28"/>
      <x:c r="D7" s="28"/>
      <x:c r="E7" s="28"/>
      <x:c r="F7" s="28"/>
      <x:c r="G7" s="28"/>
      <x:c r="J7" s="17" t="s">
        <x:v>307</x:v>
      </x:c>
      <x:c r="K7" s="17" t="s">
        <x:v>308</x:v>
      </x:c>
      <x:c r="L7" s="17" t="s">
        <x:v>309</x:v>
      </x:c>
    </x:row>
    <x:row r="9">
      <x:c r="A9" s="29" t="s">
        <x:v>158</x:v>
      </x:c>
      <x:c r="B9" s="29" t="s">
        <x:v>159</x:v>
      </x:c>
      <x:c r="C9" s="29"/>
      <x:c r="D9" s="29"/>
      <x:c r="E9" s="29" t="s">
        <x:v>160</x:v>
      </x:c>
      <x:c r="F9" s="29" t="s">
        <x:v>161</x:v>
      </x:c>
      <x:c r="G9" s="29" t="s">
        <x:v>162</x:v>
      </x:c>
    </x:row>
    <x:row r="10">
      <x:c r="A10" s="29"/>
      <x:c r="B10" s="15" t="s">
        <x:v>168</x:v>
      </x:c>
      <x:c r="C10" s="15" t="s">
        <x:v>310</x:v>
      </x:c>
      <x:c r="D10" s="15" t="s">
        <x:v>311</x:v>
      </x:c>
      <x:c r="E10" s="29"/>
      <x:c r="F10" s="29"/>
      <x:c r="G10" s="29"/>
    </x:row>
    <x:row r="11" ht="46.5">
      <x:c r="A11" s="16" t="s">
        <x:v>312</x:v>
      </x:c>
      <x:c r="B11" s="13" t="s">
        <x:v>313</x:v>
      </x:c>
      <x:c r="C11" s="13" t="s">
        <x:v>300</x:v>
      </x:c>
      <x:c r="D11" s="13" t="s">
        <x:v>301</x:v>
      </x:c>
      <x:c r="E11" s="13" t="s">
        <x:v>314</x:v>
      </x:c>
      <x:c r="F11" s="13" t="s">
        <x:v>315</x:v>
      </x:c>
      <x:c r="G11" s="17" t="s">
        <x:v>5</x:v>
      </x:c>
    </x:row>
    <x:row r="12" ht="46.5">
      <x:c r="A12" s="16" t="s">
        <x:v>316</x:v>
      </x:c>
      <x:c r="B12" s="13" t="s">
        <x:v>317</x:v>
      </x:c>
      <x:c r="C12" s="13" t="s">
        <x:v>290</x:v>
      </x:c>
      <x:c r="D12" s="13" t="s">
        <x:v>318</x:v>
      </x:c>
      <x:c r="E12" s="13" t="s">
        <x:v>319</x:v>
      </x:c>
      <x:c r="F12" s="13" t="str">
        <x:v>UT03-TC002 passed: lead time below 30 minutes is rejected.</x:v>
      </x:c>
      <x:c r="G12" s="17" t="str">
        <x:v>Pass</x:v>
      </x:c>
    </x:row>
    <x:row r="13" ht="46.5">
      <x:c r="A13" s="16" t="s">
        <x:v>320</x:v>
      </x:c>
      <x:c r="B13" s="13" t="s">
        <x:v>321</x:v>
      </x:c>
      <x:c r="C13" s="13" t="s">
        <x:v>294</x:v>
      </x:c>
      <x:c r="D13" s="13" t="s">
        <x:v>301</x:v>
      </x:c>
      <x:c r="E13" s="13" t="s">
        <x:v>315</x:v>
      </x:c>
      <x:c r="F13" s="13" t="s">
        <x:v>315</x:v>
      </x:c>
      <x:c r="G13" s="17" t="s">
        <x:v>5</x:v>
      </x:c>
    </x:row>
    <x:row r="14" ht="46.5">
      <x:c r="A14" s="16" t="s">
        <x:v>322</x:v>
      </x:c>
      <x:c r="B14" s="13" t="s">
        <x:v>323</x:v>
      </x:c>
      <x:c r="C14" s="13" t="s">
        <x:v>194</x:v>
      </x:c>
      <x:c r="D14" s="13" t="s">
        <x:v>324</x:v>
      </x:c>
      <x:c r="E14" s="13" t="s">
        <x:v>315</x:v>
      </x:c>
      <x:c r="F14" s="13" t="s">
        <x:v>315</x:v>
      </x:c>
      <x:c r="G14" s="17" t="s">
        <x:v>5</x:v>
      </x:c>
    </x:row>
    <x:row r="15" ht="46.5">
      <x:c r="A15" s="16" t="s">
        <x:v>325</x:v>
      </x:c>
      <x:c r="B15" s="13" t="s">
        <x:v>326</x:v>
      </x:c>
      <x:c r="C15" s="13" t="s">
        <x:v>304</x:v>
      </x:c>
      <x:c r="D15" s="13" t="s">
        <x:v>327</x:v>
      </x:c>
      <x:c r="E15" s="13" t="s">
        <x:v>315</x:v>
      </x:c>
      <x:c r="F15" s="13" t="s">
        <x:v>315</x:v>
      </x:c>
      <x:c r="G15" s="17" t="s">
        <x:v>5</x:v>
      </x:c>
    </x:row>
    <x:row r="16" ht="46.5">
      <x:c r="A16" s="16" t="s">
        <x:v>328</x:v>
      </x:c>
      <x:c r="B16" s="13" t="s">
        <x:v>329</x:v>
      </x:c>
      <x:c r="C16" s="13" t="s">
        <x:v>330</x:v>
      </x:c>
      <x:c r="D16" s="13" t="s">
        <x:v>331</x:v>
      </x:c>
      <x:c r="E16" s="13" t="s">
        <x:v>315</x:v>
      </x:c>
      <x:c r="F16" s="13" t="s">
        <x:v>315</x:v>
      </x:c>
      <x:c r="G16" s="17" t="s">
        <x:v>5</x:v>
      </x:c>
    </x:row>
    <x:row r="17" ht="46.5">
      <x:c r="A17" s="16" t="s">
        <x:v>332</x:v>
      </x:c>
      <x:c r="B17" s="13" t="s">
        <x:v>333</x:v>
      </x:c>
      <x:c r="C17" s="13" t="s">
        <x:v>308</x:v>
      </x:c>
      <x:c r="D17" s="13" t="s">
        <x:v>334</x:v>
      </x:c>
      <x:c r="E17" s="13" t="s">
        <x:v>335</x:v>
      </x:c>
      <x:c r="F17" s="13" t="str">
        <x:v>UT03-TC007 passed: booking beyond 14 days is rejected.</x:v>
      </x:c>
      <x:c r="G17" s="17" t="str">
        <x:v>Pass</x:v>
      </x:c>
    </x:row>
    <x:row r="18" ht="46.5">
      <x:c r="A18" s="16" t="s">
        <x:v>336</x:v>
      </x:c>
      <x:c r="B18" s="13" t="s">
        <x:v>337</x:v>
      </x:c>
      <x:c r="C18" s="13" t="s">
        <x:v>338</x:v>
      </x:c>
      <x:c r="D18" s="13" t="s">
        <x:v>291</x:v>
      </x:c>
      <x:c r="E18" s="13" t="s">
        <x:v>339</x:v>
      </x:c>
      <x:c r="F18" s="13" t="str">
        <x:v>UT03-TC008 passed: start before opening is rejected.</x:v>
      </x:c>
      <x:c r="G18" s="17" t="str">
        <x:v>Pass</x:v>
      </x:c>
    </x:row>
    <x:row r="19" ht="46.5">
      <x:c r="A19" s="16" t="s">
        <x:v>340</x:v>
      </x:c>
      <x:c r="B19" s="13" t="s">
        <x:v>341</x:v>
      </x:c>
      <x:c r="C19" s="13" t="s">
        <x:v>342</x:v>
      </x:c>
      <x:c r="D19" s="13" t="s">
        <x:v>295</x:v>
      </x:c>
      <x:c r="E19" s="13" t="s">
        <x:v>315</x:v>
      </x:c>
      <x:c r="F19" s="13" t="s">
        <x:v>315</x:v>
      </x:c>
      <x:c r="G19" s="17" t="s">
        <x:v>5</x:v>
      </x:c>
    </x:row>
    <x:row r="20" ht="46.5">
      <x:c r="A20" s="16" t="s">
        <x:v>343</x:v>
      </x:c>
      <x:c r="B20" s="13" t="s">
        <x:v>344</x:v>
      </x:c>
      <x:c r="C20" s="13" t="s">
        <x:v>345</x:v>
      </x:c>
      <x:c r="D20" s="13" t="s">
        <x:v>298</x:v>
      </x:c>
      <x:c r="E20" s="13" t="s">
        <x:v>315</x:v>
      </x:c>
      <x:c r="F20" s="13" t="s">
        <x:v>315</x:v>
      </x:c>
      <x:c r="G20" s="17" t="s">
        <x:v>5</x:v>
      </x:c>
    </x:row>
    <x:row r="21" ht="46.5">
      <x:c r="A21" s="16" t="s">
        <x:v>346</x:v>
      </x:c>
      <x:c r="B21" s="13" t="s">
        <x:v>347</x:v>
      </x:c>
      <x:c r="C21" s="13" t="s">
        <x:v>348</x:v>
      </x:c>
      <x:c r="D21" s="13" t="s">
        <x:v>305</x:v>
      </x:c>
      <x:c r="E21" s="13" t="s">
        <x:v>315</x:v>
      </x:c>
      <x:c r="F21" s="13" t="s">
        <x:v>315</x:v>
      </x:c>
      <x:c r="G21" s="17" t="s">
        <x:v>5</x:v>
      </x:c>
    </x:row>
    <x:row r="22" ht="46.5">
      <x:c r="A22" s="16" t="s">
        <x:v>349</x:v>
      </x:c>
      <x:c r="B22" s="13" t="s">
        <x:v>350</x:v>
      </x:c>
      <x:c r="C22" s="13" t="s">
        <x:v>351</x:v>
      </x:c>
      <x:c r="D22" s="13" t="s">
        <x:v>352</x:v>
      </x:c>
      <x:c r="E22" s="13" t="s">
        <x:v>353</x:v>
      </x:c>
      <x:c r="F22" s="13" t="s">
        <x:v>315</x:v>
      </x:c>
      <x:c r="G22" s="17" t="s">
        <x:v>5</x:v>
      </x:c>
    </x:row>
    <x:row r="23" ht="46.5">
      <x:c r="A23" s="16" t="s">
        <x:v>354</x:v>
      </x:c>
      <x:c r="B23" s="13" t="s">
        <x:v>355</x:v>
      </x:c>
      <x:c r="C23" s="13" t="s">
        <x:v>356</x:v>
      </x:c>
      <x:c r="D23" s="13" t="s">
        <x:v>309</x:v>
      </x:c>
      <x:c r="E23" s="13" t="s">
        <x:v>357</x:v>
      </x:c>
      <x:c r="F23" s="13" t="str">
        <x:v>UT03-TC013 passed: end after closing is rejected.</x:v>
      </x:c>
      <x:c r="G23" s="17" t="str">
        <x:v>Pass</x:v>
      </x:c>
    </x:row>
  </x:sheetData>
  <x:mergeCells>
    <x:mergeCell ref="A1:G1"/>
    <x:mergeCell ref="B3:E3"/>
    <x:mergeCell ref="B4:E4"/>
    <x:mergeCell ref="B5:E5"/>
    <x:mergeCell ref="B6:G6"/>
    <x:mergeCell ref="B7:G7"/>
    <x:mergeCell ref="A9:A10"/>
    <x:mergeCell ref="B9:D9"/>
    <x:mergeCell ref="E9:E10"/>
    <x:mergeCell ref="F9:F10"/>
    <x:mergeCell ref="G9:G10"/>
  </x:mergeCells>
  <x:conditionalFormatting sqref="G11:G23">
    <x:cfRule type="cellIs" dxfId="101" priority="1" operator="equal">
      <x:formula>"Pass"</x:formula>
    </x:cfRule>
    <x:cfRule type="cellIs" dxfId="100" priority="2" operator="equal">
      <x:formula>"Fail"</x:formula>
    </x:cfRule>
    <x:cfRule type="cellIs" dxfId="99" priority="3" operator="equal">
      <x:formula>"Block"</x:formula>
    </x:cfRule>
  </x:conditionalFormatting>
  <x:dataValidations count="1">
    <x:dataValidation type="list" allowBlank="1" sqref="G11:G23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5" width="12.25" style="8" customWidth="1"/>
    <x:col min="6" max="6" width="31.5" style="8" customWidth="1"/>
    <x:col min="7" max="7" width="17" style="8" customWidth="1"/>
    <x:col min="8" max="8" width="14.875" style="8" customWidth="1"/>
    <x:col min="9" max="10" width="7.625" style="8" customWidth="0"/>
    <x:col min="11" max="11" width="8.75" style="8" customWidth="1"/>
    <x:col min="12" max="15" width="15.75" style="8" customWidth="1"/>
    <x:col min="16" max="16384" width="7.625" style="8" customWidth="0"/>
  </x:cols>
  <x:sheetData>
    <x:row r="1" ht="69.75">
      <x:c r="A1" s="30" t="s">
        <x:v>143</x:v>
      </x:c>
      <x:c r="B1" s="30"/>
      <x:c r="C1" s="30"/>
      <x:c r="D1" s="30"/>
      <x:c r="E1" s="30"/>
      <x:c r="F1" s="30"/>
      <x:c r="G1" s="30"/>
      <x:c r="H1" s="30"/>
      <x:c r="K1" s="13"/>
      <x:c r="L1" s="15" t="s">
        <x:v>358</x:v>
      </x:c>
      <x:c r="M1" s="15" t="s">
        <x:v>359</x:v>
      </x:c>
      <x:c r="N1" s="15" t="s">
        <x:v>360</x:v>
      </x:c>
      <x:c r="O1" s="15" t="s">
        <x:v>361</x:v>
      </x:c>
    </x:row>
    <x:row r="2">
      <x:c r="K2" s="17" t="s">
        <x:v>362</x:v>
      </x:c>
      <x:c r="L2" s="17" t="s">
        <x:v>363</x:v>
      </x:c>
      <x:c r="M2" s="17" t="s">
        <x:v>363</x:v>
      </x:c>
      <x:c r="N2" s="17" t="s">
        <x:v>364</x:v>
      </x:c>
      <x:c r="O2" s="17" t="s">
        <x:v>364</x:v>
      </x:c>
    </x:row>
    <x:row r="3">
      <x:c r="A3" s="12" t="s">
        <x:v>144</x:v>
      </x:c>
      <x:c r="B3" s="28" t="s">
        <x:v>365</x:v>
      </x:c>
      <x:c r="C3" s="28"/>
      <x:c r="D3" s="28"/>
      <x:c r="E3" s="28"/>
      <x:c r="F3" s="28"/>
      <x:c r="G3" s="12" t="s">
        <x:v>146</x:v>
      </x:c>
      <x:c r="H3" s="14" t="s">
        <x:v>147</x:v>
      </x:c>
      <x:c r="K3" s="17" t="s">
        <x:v>366</x:v>
      </x:c>
      <x:c r="L3" s="17" t="s">
        <x:v>367</x:v>
      </x:c>
      <x:c r="M3" s="17" t="s">
        <x:v>367</x:v>
      </x:c>
      <x:c r="N3" s="17" t="s">
        <x:v>368</x:v>
      </x:c>
      <x:c r="O3" s="17" t="s">
        <x:v>368</x:v>
      </x:c>
    </x:row>
    <x:row r="4">
      <x:c r="A4" s="12" t="s">
        <x:v>148</x:v>
      </x:c>
      <x:c r="B4" s="28" t="s">
        <x:v>369</x:v>
      </x:c>
      <x:c r="C4" s="28"/>
      <x:c r="D4" s="28"/>
      <x:c r="E4" s="28"/>
      <x:c r="F4" s="28"/>
      <x:c r="G4" s="12" t="s">
        <x:v>150</x:v>
      </x:c>
      <x:c r="H4" s="14" t="s">
        <x:v>78</x:v>
      </x:c>
      <x:c r="K4" s="17" t="s">
        <x:v>370</x:v>
      </x:c>
      <x:c r="L4" s="17" t="s">
        <x:v>371</x:v>
      </x:c>
      <x:c r="M4" s="17" t="s">
        <x:v>371</x:v>
      </x:c>
      <x:c r="N4" s="17" t="s">
        <x:v>172</x:v>
      </x:c>
      <x:c r="O4" s="17" t="s">
        <x:v>172</x:v>
      </x:c>
    </x:row>
    <x:row r="5" ht="46.5">
      <x:c r="A5" s="12" t="s">
        <x:v>151</x:v>
      </x:c>
      <x:c r="B5" s="28" t="s">
        <x:v>152</x:v>
      </x:c>
      <x:c r="C5" s="28"/>
      <x:c r="D5" s="28"/>
      <x:c r="E5" s="28"/>
      <x:c r="F5" s="28"/>
      <x:c r="G5" s="12" t="s">
        <x:v>153</x:v>
      </x:c>
      <x:c r="H5" s="13" t="s">
        <x:v>77</x:v>
      </x:c>
      <x:c r="K5" s="17" t="s">
        <x:v>299</x:v>
      </x:c>
      <x:c r="L5" s="17" t="s">
        <x:v>372</x:v>
      </x:c>
      <x:c r="M5" s="17" t="s">
        <x:v>171</x:v>
      </x:c>
      <x:c r="N5" s="17" t="s">
        <x:v>171</x:v>
      </x:c>
      <x:c r="O5" s="17" t="s">
        <x:v>171</x:v>
      </x:c>
    </x:row>
    <x:row r="6" ht="46.5">
      <x:c r="A6" s="12" t="s">
        <x:v>154</x:v>
      </x:c>
      <x:c r="B6" s="28" t="s">
        <x:v>373</x:v>
      </x:c>
      <x:c r="C6" s="28"/>
      <x:c r="D6" s="28"/>
      <x:c r="E6" s="28"/>
      <x:c r="F6" s="28"/>
      <x:c r="G6" s="28"/>
      <x:c r="H6" s="28"/>
    </x:row>
    <x:row r="7" ht="46.5">
      <x:c r="A7" s="12" t="s">
        <x:v>156</x:v>
      </x:c>
      <x:c r="B7" s="28" t="s">
        <x:v>374</x:v>
      </x:c>
      <x:c r="C7" s="28"/>
      <x:c r="D7" s="28"/>
      <x:c r="E7" s="28"/>
      <x:c r="F7" s="28"/>
      <x:c r="G7" s="28"/>
      <x:c r="H7" s="28"/>
    </x:row>
    <x:row r="9">
      <x:c r="A9" s="29" t="s">
        <x:v>158</x:v>
      </x:c>
      <x:c r="B9" s="29" t="s">
        <x:v>159</x:v>
      </x:c>
      <x:c r="C9" s="29"/>
      <x:c r="D9" s="29"/>
      <x:c r="E9" s="29"/>
      <x:c r="F9" s="29" t="s">
        <x:v>160</x:v>
      </x:c>
      <x:c r="G9" s="29" t="s">
        <x:v>161</x:v>
      </x:c>
      <x:c r="H9" s="29" t="s">
        <x:v>162</x:v>
      </x:c>
    </x:row>
    <x:row r="10" ht="46.5">
      <x:c r="A10" s="29"/>
      <x:c r="B10" s="15" t="s">
        <x:v>375</x:v>
      </x:c>
      <x:c r="C10" s="15" t="s">
        <x:v>376</x:v>
      </x:c>
      <x:c r="D10" s="15" t="s">
        <x:v>377</x:v>
      </x:c>
      <x:c r="E10" s="15" t="s">
        <x:v>378</x:v>
      </x:c>
      <x:c r="F10" s="29"/>
      <x:c r="G10" s="29"/>
      <x:c r="H10" s="29"/>
    </x:row>
    <x:row r="11">
      <x:c r="A11" s="16" t="s">
        <x:v>379</x:v>
      </x:c>
      <x:c r="B11" s="13" t="s">
        <x:v>380</x:v>
      </x:c>
      <x:c r="C11" s="13" t="s">
        <x:v>381</x:v>
      </x:c>
      <x:c r="D11" s="13" t="s">
        <x:v>382</x:v>
      </x:c>
      <x:c r="E11" s="13" t="s">
        <x:v>372</x:v>
      </x:c>
      <x:c r="F11" s="13" t="s">
        <x:v>383</x:v>
      </x:c>
      <x:c r="G11" s="13" t="s">
        <x:v>384</x:v>
      </x:c>
      <x:c r="H11" s="17" t="s">
        <x:v>5</x:v>
      </x:c>
    </x:row>
    <x:row r="12" ht="46.5">
      <x:c r="A12" s="16" t="s">
        <x:v>385</x:v>
      </x:c>
      <x:c r="B12" s="13" t="s">
        <x:v>386</x:v>
      </x:c>
      <x:c r="C12" s="13" t="s">
        <x:v>387</x:v>
      </x:c>
      <x:c r="D12" s="13" t="s">
        <x:v>388</x:v>
      </x:c>
      <x:c r="E12" s="13" t="s">
        <x:v>363</x:v>
      </x:c>
      <x:c r="F12" s="13" t="s">
        <x:v>389</x:v>
      </x:c>
      <x:c r="G12" s="13" t="s">
        <x:v>249</x:v>
      </x:c>
      <x:c r="H12" s="17" t="s">
        <x:v>5</x:v>
      </x:c>
    </x:row>
    <x:row r="13">
      <x:c r="A13" s="16" t="s">
        <x:v>390</x:v>
      </x:c>
      <x:c r="B13" s="13" t="s">
        <x:v>386</x:v>
      </x:c>
      <x:c r="C13" s="13" t="s">
        <x:v>391</x:v>
      </x:c>
      <x:c r="D13" s="13" t="s">
        <x:v>392</x:v>
      </x:c>
      <x:c r="E13" s="13" t="s">
        <x:v>367</x:v>
      </x:c>
      <x:c r="F13" s="13" t="s">
        <x:v>384</x:v>
      </x:c>
      <x:c r="G13" s="13" t="s">
        <x:v>384</x:v>
      </x:c>
      <x:c r="H13" s="17" t="s">
        <x:v>5</x:v>
      </x:c>
    </x:row>
    <x:row r="14">
      <x:c r="A14" s="16" t="s">
        <x:v>393</x:v>
      </x:c>
      <x:c r="B14" s="13" t="s">
        <x:v>386</x:v>
      </x:c>
      <x:c r="C14" s="13" t="s">
        <x:v>394</x:v>
      </x:c>
      <x:c r="D14" s="13" t="s">
        <x:v>395</x:v>
      </x:c>
      <x:c r="E14" s="13" t="s">
        <x:v>371</x:v>
      </x:c>
      <x:c r="F14" s="13" t="s">
        <x:v>384</x:v>
      </x:c>
      <x:c r="G14" s="13" t="s">
        <x:v>384</x:v>
      </x:c>
      <x:c r="H14" s="17" t="s">
        <x:v>5</x:v>
      </x:c>
    </x:row>
    <x:row r="15" ht="46.5">
      <x:c r="A15" s="16" t="s">
        <x:v>396</x:v>
      </x:c>
      <x:c r="B15" s="13" t="s">
        <x:v>386</x:v>
      </x:c>
      <x:c r="C15" s="13" t="s">
        <x:v>397</x:v>
      </x:c>
      <x:c r="D15" s="13" t="s">
        <x:v>398</x:v>
      </x:c>
      <x:c r="E15" s="13" t="s">
        <x:v>363</x:v>
      </x:c>
      <x:c r="F15" s="13" t="s">
        <x:v>399</x:v>
      </x:c>
      <x:c r="G15" s="13" t="s">
        <x:v>249</x:v>
      </x:c>
      <x:c r="H15" s="17" t="s">
        <x:v>5</x:v>
      </x:c>
    </x:row>
    <x:row r="16">
      <x:c r="A16" s="16" t="s">
        <x:v>400</x:v>
      </x:c>
      <x:c r="B16" s="13" t="s">
        <x:v>386</x:v>
      </x:c>
      <x:c r="C16" s="13" t="s">
        <x:v>401</x:v>
      </x:c>
      <x:c r="D16" s="13" t="s">
        <x:v>402</x:v>
      </x:c>
      <x:c r="E16" s="13" t="s">
        <x:v>367</x:v>
      </x:c>
      <x:c r="F16" s="13" t="s">
        <x:v>384</x:v>
      </x:c>
      <x:c r="G16" s="13" t="s">
        <x:v>384</x:v>
      </x:c>
      <x:c r="H16" s="17" t="s">
        <x:v>5</x:v>
      </x:c>
    </x:row>
    <x:row r="17">
      <x:c r="A17" s="16" t="s">
        <x:v>403</x:v>
      </x:c>
      <x:c r="B17" s="13" t="s">
        <x:v>386</x:v>
      </x:c>
      <x:c r="C17" s="13" t="s">
        <x:v>404</x:v>
      </x:c>
      <x:c r="D17" s="13" t="s">
        <x:v>405</x:v>
      </x:c>
      <x:c r="E17" s="13" t="s">
        <x:v>371</x:v>
      </x:c>
      <x:c r="F17" s="13" t="s">
        <x:v>384</x:v>
      </x:c>
      <x:c r="G17" s="13" t="s">
        <x:v>384</x:v>
      </x:c>
      <x:c r="H17" s="17" t="s">
        <x:v>5</x:v>
      </x:c>
    </x:row>
    <x:row r="18" ht="46.5">
      <x:c r="A18" s="16" t="s">
        <x:v>406</x:v>
      </x:c>
      <x:c r="B18" s="13" t="s">
        <x:v>407</x:v>
      </x:c>
      <x:c r="C18" s="13" t="s">
        <x:v>408</x:v>
      </x:c>
      <x:c r="D18" s="13" t="s">
        <x:v>327</x:v>
      </x:c>
      <x:c r="E18" s="13" t="s">
        <x:v>364</x:v>
      </x:c>
      <x:c r="F18" s="13" t="s">
        <x:v>409</x:v>
      </x:c>
      <x:c r="G18" s="13" t="s">
        <x:v>249</x:v>
      </x:c>
      <x:c r="H18" s="17" t="s">
        <x:v>5</x:v>
      </x:c>
    </x:row>
    <x:row r="19">
      <x:c r="A19" s="16" t="s">
        <x:v>410</x:v>
      </x:c>
      <x:c r="B19" s="13" t="s">
        <x:v>407</x:v>
      </x:c>
      <x:c r="C19" s="13" t="s">
        <x:v>411</x:v>
      </x:c>
      <x:c r="D19" s="13" t="s">
        <x:v>331</x:v>
      </x:c>
      <x:c r="E19" s="13" t="s">
        <x:v>368</x:v>
      </x:c>
      <x:c r="F19" s="13" t="s">
        <x:v>384</x:v>
      </x:c>
      <x:c r="G19" s="13" t="s">
        <x:v>384</x:v>
      </x:c>
      <x:c r="H19" s="17" t="s">
        <x:v>5</x:v>
      </x:c>
    </x:row>
    <x:row r="20">
      <x:c r="A20" s="16" t="s">
        <x:v>412</x:v>
      </x:c>
      <x:c r="B20" s="13" t="s">
        <x:v>407</x:v>
      </x:c>
      <x:c r="C20" s="13" t="s">
        <x:v>413</x:v>
      </x:c>
      <x:c r="D20" s="13" t="s">
        <x:v>334</x:v>
      </x:c>
      <x:c r="E20" s="13" t="s">
        <x:v>172</x:v>
      </x:c>
      <x:c r="F20" s="13" t="s">
        <x:v>384</x:v>
      </x:c>
      <x:c r="G20" s="13" t="s">
        <x:v>384</x:v>
      </x:c>
      <x:c r="H20" s="17" t="s">
        <x:v>5</x:v>
      </x:c>
    </x:row>
    <x:row r="21" ht="46.5">
      <x:c r="A21" s="16" t="s">
        <x:v>414</x:v>
      </x:c>
      <x:c r="B21" s="13" t="s">
        <x:v>407</x:v>
      </x:c>
      <x:c r="C21" s="13" t="s">
        <x:v>415</x:v>
      </x:c>
      <x:c r="D21" s="13" t="s">
        <x:v>416</x:v>
      </x:c>
      <x:c r="E21" s="13" t="s">
        <x:v>364</x:v>
      </x:c>
      <x:c r="F21" s="13" t="s">
        <x:v>409</x:v>
      </x:c>
      <x:c r="G21" s="13" t="s">
        <x:v>249</x:v>
      </x:c>
      <x:c r="H21" s="17" t="s">
        <x:v>5</x:v>
      </x:c>
    </x:row>
    <x:row r="22">
      <x:c r="A22" s="16" t="s">
        <x:v>417</x:v>
      </x:c>
      <x:c r="B22" s="13" t="s">
        <x:v>407</x:v>
      </x:c>
      <x:c r="C22" s="13" t="s">
        <x:v>418</x:v>
      </x:c>
      <x:c r="D22" s="13" t="s">
        <x:v>419</x:v>
      </x:c>
      <x:c r="E22" s="13" t="s">
        <x:v>368</x:v>
      </x:c>
      <x:c r="F22" s="13" t="s">
        <x:v>384</x:v>
      </x:c>
      <x:c r="G22" s="13" t="s">
        <x:v>384</x:v>
      </x:c>
      <x:c r="H22" s="17" t="s">
        <x:v>5</x:v>
      </x:c>
    </x:row>
    <x:row r="23">
      <x:c r="A23" s="16" t="s">
        <x:v>420</x:v>
      </x:c>
      <x:c r="B23" s="13" t="s">
        <x:v>407</x:v>
      </x:c>
      <x:c r="C23" s="13" t="s">
        <x:v>421</x:v>
      </x:c>
      <x:c r="D23" s="13" t="s">
        <x:v>422</x:v>
      </x:c>
      <x:c r="E23" s="13" t="s">
        <x:v>172</x:v>
      </x:c>
      <x:c r="F23" s="13" t="s">
        <x:v>384</x:v>
      </x:c>
      <x:c r="G23" s="13" t="s">
        <x:v>384</x:v>
      </x:c>
      <x:c r="H23" s="17" t="s">
        <x:v>5</x:v>
      </x:c>
    </x:row>
  </x:sheetData>
  <x:mergeCells>
    <x:mergeCell ref="A9:A10"/>
    <x:mergeCell ref="B9:E9"/>
    <x:mergeCell ref="F9:F10"/>
    <x:mergeCell ref="G9:G10"/>
    <x:mergeCell ref="H9:H10"/>
    <x:mergeCell ref="B7:H7"/>
    <x:mergeCell ref="A1:H1"/>
    <x:mergeCell ref="B3:F3"/>
    <x:mergeCell ref="B4:F4"/>
    <x:mergeCell ref="B5:F5"/>
    <x:mergeCell ref="B6:H6"/>
  </x:mergeCells>
  <x:conditionalFormatting sqref="H11:H23">
    <x:cfRule type="cellIs" dxfId="98" priority="1" operator="equal">
      <x:formula>"Pass"</x:formula>
    </x:cfRule>
    <x:cfRule type="cellIs" dxfId="97" priority="2" operator="equal">
      <x:formula>"Fail"</x:formula>
    </x:cfRule>
    <x:cfRule type="cellIs" dxfId="96" priority="3" operator="equal">
      <x:formula>"Block"</x:formula>
    </x:cfRule>
  </x:conditionalFormatting>
  <x:dataValidations count="1">
    <x:dataValidation type="list" allowBlank="1" sqref="H11:H23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7.625" defaultRowHeight="23.25"/>
  <x:cols>
    <x:col min="1" max="1" width="29.75" style="8" customWidth="1"/>
    <x:col min="2" max="2" width="14" style="8" customWidth="1"/>
    <x:col min="3" max="6" width="14.875" style="8" customWidth="1"/>
    <x:col min="7" max="7" width="38.5" style="8" customWidth="1"/>
    <x:col min="8" max="8" width="15.75" style="8" customWidth="1"/>
    <x:col min="9" max="9" width="14.875" style="8" customWidth="1"/>
    <x:col min="10" max="10" width="8.75" style="8" customWidth="1"/>
    <x:col min="11" max="11" width="14.5" style="8" customWidth="1"/>
    <x:col min="12" max="16384" width="7.625" style="8" customWidth="0"/>
  </x:cols>
  <x:sheetData>
    <x:row r="1">
      <x:c r="A1" s="23" t="s">
        <x:v>423</x:v>
      </x:c>
    </x:row>
    <x:row r="2">
      <x:c r="A2" s="39" t="s">
        <x:v>424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</x:row>
    <x:row r="3">
      <x:c r="A3" s="39" t="s">
        <x:v>425</x:v>
      </x:c>
      <x:c r="B3" s="39"/>
      <x:c r="C3" s="39"/>
      <x:c r="D3" s="39"/>
      <x:c r="E3" s="39"/>
      <x:c r="F3" s="39"/>
      <x:c r="G3" s="39"/>
      <x:c r="H3" s="39"/>
      <x:c r="I3" s="39"/>
      <x:c r="J3" s="39"/>
      <x:c r="K3" s="39"/>
    </x:row>
    <x:row r="4">
      <x:c r="A4" s="39" t="s">
        <x:v>426</x:v>
      </x:c>
      <x:c r="B4" s="39"/>
      <x:c r="C4" s="39"/>
      <x:c r="D4" s="39"/>
      <x:c r="E4" s="39"/>
      <x:c r="F4" s="39"/>
      <x:c r="G4" s="39"/>
      <x:c r="H4" s="39"/>
      <x:c r="I4" s="39"/>
      <x:c r="J4" s="39"/>
      <x:c r="K4" s="39"/>
    </x:row>
    <x:row r="6">
      <x:c r="A6" s="18" t="s">
        <x:v>104</x:v>
      </x:c>
      <x:c r="B6" s="19" t="s">
        <x:v>212</x:v>
      </x:c>
      <x:c r="C6" s="19" t="s">
        <x:v>213</x:v>
      </x:c>
      <x:c r="D6" s="19" t="s">
        <x:v>214</x:v>
      </x:c>
      <x:c r="E6" s="19" t="s">
        <x:v>215</x:v>
      </x:c>
      <x:c r="F6" s="19" t="s">
        <x:v>216</x:v>
      </x:c>
      <x:c r="G6" s="19" t="s">
        <x:v>217</x:v>
      </x:c>
      <x:c r="H6" s="19" t="s">
        <x:v>218</x:v>
      </x:c>
      <x:c r="I6" s="19" t="s">
        <x:v>219</x:v>
      </x:c>
      <x:c r="J6" s="19" t="s">
        <x:v>427</x:v>
      </x:c>
      <x:c r="K6" s="19" t="s">
        <x:v>428</x:v>
      </x:c>
    </x:row>
    <x:row r="7">
      <x:c r="A7" s="13" t="s">
        <x:v>429</x:v>
      </x:c>
      <x:c r="B7" s="17" t="s">
        <x:v>179</x:v>
      </x:c>
      <x:c r="C7" s="17" t="s">
        <x:v>171</x:v>
      </x:c>
      <x:c r="D7" s="17" t="s">
        <x:v>430</x:v>
      </x:c>
      <x:c r="E7" s="17" t="s">
        <x:v>430</x:v>
      </x:c>
      <x:c r="F7" s="17" t="s">
        <x:v>430</x:v>
      </x:c>
      <x:c r="G7" s="17" t="s">
        <x:v>430</x:v>
      </x:c>
      <x:c r="H7" s="17" t="s">
        <x:v>430</x:v>
      </x:c>
      <x:c r="I7" s="17" t="s">
        <x:v>431</x:v>
      </x:c>
      <x:c r="J7" s="17" t="s">
        <x:v>431</x:v>
      </x:c>
      <x:c r="K7" s="17" t="s">
        <x:v>431</x:v>
      </x:c>
    </x:row>
    <x:row r="8">
      <x:c r="A8" s="13" t="s">
        <x:v>432</x:v>
      </x:c>
      <x:c r="B8" s="17" t="s">
        <x:v>171</x:v>
      </x:c>
      <x:c r="C8" s="17" t="s">
        <x:v>222</x:v>
      </x:c>
      <x:c r="D8" s="17" t="s">
        <x:v>221</x:v>
      </x:c>
      <x:c r="E8" s="17" t="s">
        <x:v>221</x:v>
      </x:c>
      <x:c r="F8" s="17" t="s">
        <x:v>221</x:v>
      </x:c>
      <x:c r="G8" s="17" t="s">
        <x:v>221</x:v>
      </x:c>
      <x:c r="H8" s="17" t="s">
        <x:v>221</x:v>
      </x:c>
      <x:c r="I8" s="17" t="s">
        <x:v>221</x:v>
      </x:c>
      <x:c r="J8" s="17" t="s">
        <x:v>221</x:v>
      </x:c>
      <x:c r="K8" s="17" t="s">
        <x:v>221</x:v>
      </x:c>
    </x:row>
    <x:row r="9">
      <x:c r="A9" s="13" t="s">
        <x:v>433</x:v>
      </x:c>
      <x:c r="B9" s="17" t="s">
        <x:v>171</x:v>
      </x:c>
      <x:c r="C9" s="17" t="s">
        <x:v>171</x:v>
      </x:c>
      <x:c r="D9" s="17" t="s">
        <x:v>222</x:v>
      </x:c>
      <x:c r="E9" s="17" t="s">
        <x:v>221</x:v>
      </x:c>
      <x:c r="F9" s="17" t="s">
        <x:v>221</x:v>
      </x:c>
      <x:c r="G9" s="17" t="s">
        <x:v>221</x:v>
      </x:c>
      <x:c r="H9" s="17" t="s">
        <x:v>221</x:v>
      </x:c>
      <x:c r="I9" s="17" t="s">
        <x:v>171</x:v>
      </x:c>
      <x:c r="J9" s="17" t="s">
        <x:v>171</x:v>
      </x:c>
      <x:c r="K9" s="17" t="s">
        <x:v>171</x:v>
      </x:c>
    </x:row>
    <x:row r="10">
      <x:c r="A10" s="13" t="s">
        <x:v>434</x:v>
      </x:c>
      <x:c r="B10" s="17" t="s">
        <x:v>171</x:v>
      </x:c>
      <x:c r="C10" s="17" t="s">
        <x:v>171</x:v>
      </x:c>
      <x:c r="D10" s="17" t="s">
        <x:v>171</x:v>
      </x:c>
      <x:c r="E10" s="17" t="s">
        <x:v>435</x:v>
      </x:c>
      <x:c r="F10" s="17" t="s">
        <x:v>436</x:v>
      </x:c>
      <x:c r="G10" s="17" t="s">
        <x:v>436</x:v>
      </x:c>
      <x:c r="H10" s="17" t="s">
        <x:v>436</x:v>
      </x:c>
      <x:c r="I10" s="17" t="s">
        <x:v>435</x:v>
      </x:c>
      <x:c r="J10" s="17" t="s">
        <x:v>171</x:v>
      </x:c>
      <x:c r="K10" s="17" t="s">
        <x:v>171</x:v>
      </x:c>
    </x:row>
    <x:row r="11">
      <x:c r="A11" s="13" t="s">
        <x:v>437</x:v>
      </x:c>
      <x:c r="B11" s="17" t="s">
        <x:v>171</x:v>
      </x:c>
      <x:c r="C11" s="17" t="s">
        <x:v>171</x:v>
      </x:c>
      <x:c r="D11" s="17" t="s">
        <x:v>171</x:v>
      </x:c>
      <x:c r="E11" s="17" t="s">
        <x:v>171</x:v>
      </x:c>
      <x:c r="F11" s="17" t="s">
        <x:v>438</x:v>
      </x:c>
      <x:c r="G11" s="17" t="s">
        <x:v>438</x:v>
      </x:c>
      <x:c r="H11" s="17" t="s">
        <x:v>439</x:v>
      </x:c>
      <x:c r="I11" s="17" t="s">
        <x:v>438</x:v>
      </x:c>
      <x:c r="J11" s="17" t="s">
        <x:v>440</x:v>
      </x:c>
      <x:c r="K11" s="17" t="s">
        <x:v>439</x:v>
      </x:c>
    </x:row>
    <x:row r="12">
      <x:c r="A12" s="13" t="s">
        <x:v>441</x:v>
      </x:c>
      <x:c r="B12" s="17" t="s">
        <x:v>171</x:v>
      </x:c>
      <x:c r="C12" s="17" t="s">
        <x:v>171</x:v>
      </x:c>
      <x:c r="D12" s="17" t="s">
        <x:v>171</x:v>
      </x:c>
      <x:c r="E12" s="17" t="s">
        <x:v>171</x:v>
      </x:c>
      <x:c r="F12" s="17" t="s">
        <x:v>222</x:v>
      </x:c>
      <x:c r="G12" s="17" t="s">
        <x:v>221</x:v>
      </x:c>
      <x:c r="H12" s="17" t="s">
        <x:v>171</x:v>
      </x:c>
      <x:c r="I12" s="17" t="s">
        <x:v>171</x:v>
      </x:c>
      <x:c r="J12" s="17" t="s">
        <x:v>171</x:v>
      </x:c>
      <x:c r="K12" s="17" t="s">
        <x:v>171</x:v>
      </x:c>
    </x:row>
    <x:row r="13">
      <x:c r="A13" s="18" t="s">
        <x:v>229</x:v>
      </x:c>
      <x:c r="B13" s="20"/>
      <x:c r="C13" s="20"/>
      <x:c r="D13" s="20"/>
      <x:c r="E13" s="20"/>
      <x:c r="F13" s="20"/>
      <x:c r="G13" s="20"/>
      <x:c r="H13" s="20"/>
      <x:c r="I13" s="20"/>
      <x:c r="J13" s="20"/>
      <x:c r="K13" s="20"/>
    </x:row>
    <x:row r="14">
      <x:c r="A14" s="13" t="s">
        <x:v>442</x:v>
      </x:c>
      <x:c r="B14" s="17" t="s">
        <x:v>231</x:v>
      </x:c>
      <x:c r="C14" s="17"/>
      <x:c r="D14" s="17"/>
      <x:c r="E14" s="17"/>
      <x:c r="F14" s="17"/>
      <x:c r="G14" s="17"/>
      <x:c r="H14" s="17"/>
      <x:c r="I14" s="17"/>
      <x:c r="J14" s="17"/>
      <x:c r="K14" s="17"/>
    </x:row>
    <x:row r="15">
      <x:c r="A15" s="13" t="s">
        <x:v>443</x:v>
      </x:c>
      <x:c r="B15" s="17"/>
      <x:c r="C15" s="17" t="s">
        <x:v>231</x:v>
      </x:c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13" t="s">
        <x:v>444</x:v>
      </x:c>
      <x:c r="B16" s="17"/>
      <x:c r="C16" s="17"/>
      <x:c r="D16" s="17" t="s">
        <x:v>231</x:v>
      </x:c>
      <x:c r="E16" s="17"/>
      <x:c r="F16" s="17"/>
      <x:c r="G16" s="17"/>
      <x:c r="H16" s="17"/>
      <x:c r="I16" s="17"/>
      <x:c r="J16" s="17"/>
      <x:c r="K16" s="17"/>
    </x:row>
    <x:row r="17" ht="46.5">
      <x:c r="A17" s="13" t="s">
        <x:v>445</x:v>
      </x:c>
      <x:c r="B17" s="17"/>
      <x:c r="C17" s="17"/>
      <x:c r="D17" s="17"/>
      <x:c r="E17" s="17" t="s">
        <x:v>231</x:v>
      </x:c>
      <x:c r="F17" s="17"/>
      <x:c r="G17" s="17"/>
      <x:c r="H17" s="17"/>
      <x:c r="I17" s="17"/>
      <x:c r="J17" s="17"/>
      <x:c r="K17" s="17"/>
    </x:row>
    <x:row r="18" ht="46.5">
      <x:c r="A18" s="13" t="s">
        <x:v>446</x:v>
      </x:c>
      <x:c r="B18" s="17"/>
      <x:c r="C18" s="17"/>
      <x:c r="D18" s="17"/>
      <x:c r="E18" s="17"/>
      <x:c r="F18" s="17"/>
      <x:c r="G18" s="17"/>
      <x:c r="H18" s="17" t="s">
        <x:v>231</x:v>
      </x:c>
      <x:c r="I18" s="17"/>
      <x:c r="J18" s="17"/>
      <x:c r="K18" s="17" t="s">
        <x:v>231</x:v>
      </x:c>
    </x:row>
    <x:row r="19" ht="46.5">
      <x:c r="A19" s="13" t="s">
        <x:v>447</x:v>
      </x:c>
      <x:c r="B19" s="17"/>
      <x:c r="C19" s="17"/>
      <x:c r="D19" s="17"/>
      <x:c r="E19" s="17"/>
      <x:c r="F19" s="17" t="s">
        <x:v>231</x:v>
      </x:c>
      <x:c r="G19" s="17" t="s">
        <x:v>231</x:v>
      </x:c>
      <x:c r="H19" s="17"/>
      <x:c r="I19" s="17" t="s">
        <x:v>231</x:v>
      </x:c>
      <x:c r="J19" s="17" t="s">
        <x:v>231</x:v>
      </x:c>
      <x:c r="K19" s="17"/>
    </x:row>
    <x:row r="20" ht="46.5">
      <x:c r="A20" s="13" t="s">
        <x:v>448</x:v>
      </x:c>
      <x:c r="B20" s="17"/>
      <x:c r="C20" s="17"/>
      <x:c r="D20" s="17"/>
      <x:c r="E20" s="17"/>
      <x:c r="F20" s="17"/>
      <x:c r="G20" s="17" t="s">
        <x:v>231</x:v>
      </x:c>
      <x:c r="H20" s="17"/>
      <x:c r="I20" s="17"/>
      <x:c r="J20" s="17"/>
      <x:c r="K20" s="17"/>
    </x:row>
    <x:row r="21">
      <x:c r="A21" s="13" t="s">
        <x:v>237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35" t="s">
        <x:v>449</x:v>
      </x:c>
      <x:c r="B22" s="35"/>
      <x:c r="C22" s="35"/>
      <x:c r="D22" s="35"/>
      <x:c r="E22" s="35"/>
      <x:c r="F22" s="35"/>
      <x:c r="G22" s="35"/>
      <x:c r="H22" s="35"/>
      <x:c r="I22" s="35"/>
      <x:c r="J22" s="35"/>
      <x:c r="K22" s="35"/>
    </x:row>
    <x:row r="24">
      <x:c r="A24" s="30" t="s">
        <x:v>143</x:v>
      </x:c>
      <x:c r="B24" s="30"/>
      <x:c r="C24" s="30"/>
      <x:c r="D24" s="30"/>
      <x:c r="E24" s="30"/>
      <x:c r="F24" s="30"/>
      <x:c r="G24" s="30"/>
      <x:c r="H24" s="30"/>
      <x:c r="I24" s="30"/>
      <x:c r="J24" s="30"/>
      <x:c r="K24" s="30"/>
    </x:row>
    <x:row r="26" ht="46.5">
      <x:c r="A26" s="12" t="s">
        <x:v>144</x:v>
      </x:c>
      <x:c r="B26" s="28" t="s">
        <x:v>450</x:v>
      </x:c>
      <x:c r="C26" s="28"/>
      <x:c r="D26" s="28"/>
      <x:c r="E26" s="28"/>
      <x:c r="F26" s="28"/>
      <x:c r="G26" s="28"/>
      <x:c r="H26" s="21"/>
      <x:c r="I26" s="21"/>
      <x:c r="J26" s="12" t="s">
        <x:v>146</x:v>
      </x:c>
      <x:c r="K26" s="14" t="s">
        <x:v>147</x:v>
      </x:c>
    </x:row>
    <x:row r="27" ht="46.5">
      <x:c r="A27" s="12" t="s">
        <x:v>148</x:v>
      </x:c>
      <x:c r="B27" s="28" t="s">
        <x:v>451</x:v>
      </x:c>
      <x:c r="C27" s="28"/>
      <x:c r="D27" s="28"/>
      <x:c r="E27" s="28"/>
      <x:c r="F27" s="28"/>
      <x:c r="G27" s="28"/>
      <x:c r="H27" s="21"/>
      <x:c r="I27" s="21"/>
      <x:c r="J27" s="12" t="s">
        <x:v>150</x:v>
      </x:c>
      <x:c r="K27" s="14" t="s">
        <x:v>78</x:v>
      </x:c>
    </x:row>
    <x:row r="28">
      <x:c r="A28" s="12" t="s">
        <x:v>151</x:v>
      </x:c>
      <x:c r="B28" s="28" t="s">
        <x:v>152</x:v>
      </x:c>
      <x:c r="C28" s="28"/>
      <x:c r="D28" s="28"/>
      <x:c r="E28" s="28"/>
      <x:c r="F28" s="28"/>
      <x:c r="G28" s="28"/>
      <x:c r="H28" s="21"/>
      <x:c r="I28" s="21"/>
      <x:c r="J28" s="12" t="s">
        <x:v>153</x:v>
      </x:c>
      <x:c r="K28" s="13" t="s">
        <x:v>77</x:v>
      </x:c>
    </x:row>
    <x:row r="29">
      <x:c r="A29" s="12" t="s">
        <x:v>154</x:v>
      </x:c>
      <x:c r="B29" s="28" t="s">
        <x:v>452</x:v>
      </x:c>
      <x:c r="C29" s="28"/>
      <x:c r="D29" s="28"/>
      <x:c r="E29" s="28"/>
      <x:c r="F29" s="28"/>
      <x:c r="G29" s="28"/>
      <x:c r="H29" s="28"/>
      <x:c r="I29" s="28"/>
      <x:c r="J29" s="28"/>
      <x:c r="K29" s="28"/>
    </x:row>
    <x:row r="30">
      <x:c r="A30" s="12" t="s">
        <x:v>156</x:v>
      </x:c>
      <x:c r="B30" s="28" t="s">
        <x:v>453</x:v>
      </x:c>
      <x:c r="C30" s="28"/>
      <x:c r="D30" s="28"/>
      <x:c r="E30" s="28"/>
      <x:c r="F30" s="28"/>
      <x:c r="G30" s="28"/>
      <x:c r="H30" s="28"/>
      <x:c r="I30" s="28"/>
      <x:c r="J30" s="28"/>
      <x:c r="K30" s="28"/>
    </x:row>
    <x:row r="32">
      <x:c r="A32" s="29" t="s">
        <x:v>243</x:v>
      </x:c>
      <x:c r="B32" s="29" t="s">
        <x:v>158</x:v>
      </x:c>
      <x:c r="C32" s="29" t="s">
        <x:v>159</x:v>
      </x:c>
      <x:c r="D32" s="29"/>
      <x:c r="E32" s="29"/>
      <x:c r="F32" s="29"/>
      <x:c r="G32" s="29" t="s">
        <x:v>160</x:v>
      </x:c>
      <x:c r="H32" s="29" t="s">
        <x:v>161</x:v>
      </x:c>
      <x:c r="I32" s="29" t="s">
        <x:v>162</x:v>
      </x:c>
    </x:row>
    <x:row r="33" ht="46.5">
      <x:c r="A33" s="29"/>
      <x:c r="B33" s="29"/>
      <x:c r="C33" s="15" t="s">
        <x:v>454</x:v>
      </x:c>
      <x:c r="D33" s="15" t="s">
        <x:v>163</x:v>
      </x:c>
      <x:c r="E33" s="15" t="s">
        <x:v>455</x:v>
      </x:c>
      <x:c r="F33" s="15" t="s">
        <x:v>456</x:v>
      </x:c>
      <x:c r="G33" s="29"/>
      <x:c r="H33" s="29"/>
      <x:c r="I33" s="29"/>
    </x:row>
    <x:row r="34" ht="46.5">
      <x:c r="A34" s="17" t="s">
        <x:v>246</x:v>
      </x:c>
      <x:c r="B34" s="16" t="s">
        <x:v>457</x:v>
      </x:c>
      <x:c r="C34" s="13" t="s">
        <x:v>458</x:v>
      </x:c>
      <x:c r="D34" s="13" t="s">
        <x:v>179</x:v>
      </x:c>
      <x:c r="E34" s="13" t="s">
        <x:v>459</x:v>
      </x:c>
      <x:c r="F34" s="13" t="s">
        <x:v>171</x:v>
      </x:c>
      <x:c r="G34" s="13" t="s">
        <x:v>182</x:v>
      </x:c>
      <x:c r="H34" s="13" t="s">
        <x:v>182</x:v>
      </x:c>
      <x:c r="I34" s="17" t="s">
        <x:v>5</x:v>
      </x:c>
    </x:row>
    <x:row r="35" ht="46.5">
      <x:c r="A35" s="17" t="s">
        <x:v>252</x:v>
      </x:c>
      <x:c r="B35" s="16" t="s">
        <x:v>460</x:v>
      </x:c>
      <x:c r="C35" s="13" t="s">
        <x:v>190</x:v>
      </x:c>
      <x:c r="D35" s="13" t="s">
        <x:v>170</x:v>
      </x:c>
      <x:c r="E35" s="13" t="s">
        <x:v>171</x:v>
      </x:c>
      <x:c r="F35" s="13" t="s">
        <x:v>171</x:v>
      </x:c>
      <x:c r="G35" s="13" t="s">
        <x:v>185</x:v>
      </x:c>
      <x:c r="H35" s="13" t="s">
        <x:v>185</x:v>
      </x:c>
      <x:c r="I35" s="17" t="s">
        <x:v>5</x:v>
      </x:c>
    </x:row>
    <x:row r="36" ht="46.5">
      <x:c r="A36" s="17" t="s">
        <x:v>256</x:v>
      </x:c>
      <x:c r="B36" s="16" t="s">
        <x:v>461</x:v>
      </x:c>
      <x:c r="C36" s="13" t="s">
        <x:v>458</x:v>
      </x:c>
      <x:c r="D36" s="13" t="s">
        <x:v>462</x:v>
      </x:c>
      <x:c r="E36" s="13" t="s">
        <x:v>459</x:v>
      </x:c>
      <x:c r="F36" s="13" t="s">
        <x:v>171</x:v>
      </x:c>
      <x:c r="G36" s="13" t="s">
        <x:v>463</x:v>
      </x:c>
      <x:c r="H36" s="13" t="s">
        <x:v>464</x:v>
      </x:c>
      <x:c r="I36" s="17" t="s">
        <x:v>5</x:v>
      </x:c>
    </x:row>
    <x:row r="37" ht="69.75">
      <x:c r="A37" s="17" t="s">
        <x:v>260</x:v>
      </x:c>
      <x:c r="B37" s="16" t="s">
        <x:v>465</x:v>
      </x:c>
      <x:c r="C37" s="13" t="s">
        <x:v>201</x:v>
      </x:c>
      <x:c r="D37" s="13" t="s">
        <x:v>170</x:v>
      </x:c>
      <x:c r="E37" s="13" t="s">
        <x:v>466</x:v>
      </x:c>
      <x:c r="F37" s="13" t="s">
        <x:v>171</x:v>
      </x:c>
      <x:c r="G37" s="13" t="s">
        <x:v>467</x:v>
      </x:c>
      <x:c r="H37" s="13" t="s">
        <x:v>188</x:v>
      </x:c>
      <x:c r="I37" s="17" t="s">
        <x:v>5</x:v>
      </x:c>
    </x:row>
    <x:row r="38" ht="69.75">
      <x:c r="A38" s="17" t="s">
        <x:v>268</x:v>
      </x:c>
      <x:c r="B38" s="16" t="s">
        <x:v>468</x:v>
      </x:c>
      <x:c r="C38" s="13" t="s">
        <x:v>469</x:v>
      </x:c>
      <x:c r="D38" s="13" t="s">
        <x:v>170</x:v>
      </x:c>
      <x:c r="E38" s="13" t="s">
        <x:v>470</x:v>
      </x:c>
      <x:c r="F38" s="13" t="str">
        <x:v>UT05-TC005 passed: cancellation changes status and publishes its event.</x:v>
      </x:c>
      <x:c r="G38" s="13" t="str">
        <x:v>Pass</x:v>
      </x:c>
      <x:c r="H38" s="13" t="s">
        <x:v>471</x:v>
      </x:c>
      <x:c r="I38" s="17" t="s">
        <x:v>5</x:v>
      </x:c>
    </x:row>
    <x:row r="39" ht="93">
      <x:c r="A39" s="17" t="s">
        <x:v>268</x:v>
      </x:c>
      <x:c r="B39" s="16" t="s">
        <x:v>472</x:v>
      </x:c>
      <x:c r="C39" s="13" t="s">
        <x:v>473</x:v>
      </x:c>
      <x:c r="D39" s="13" t="s">
        <x:v>170</x:v>
      </x:c>
      <x:c r="E39" s="13" t="s">
        <x:v>474</x:v>
      </x:c>
      <x:c r="F39" s="13" t="s">
        <x:v>475</x:v>
      </x:c>
      <x:c r="G39" s="13" t="s">
        <x:v>476</x:v>
      </x:c>
      <x:c r="H39" s="13" t="s">
        <x:v>471</x:v>
      </x:c>
      <x:c r="I39" s="17" t="s">
        <x:v>5</x:v>
      </x:c>
    </x:row>
    <x:row r="40" ht="69.75">
      <x:c r="A40" s="17" t="s">
        <x:v>273</x:v>
      </x:c>
      <x:c r="B40" s="16" t="s">
        <x:v>477</x:v>
      </x:c>
      <x:c r="C40" s="13" t="s">
        <x:v>363</x:v>
      </x:c>
      <x:c r="D40" s="13" t="s">
        <x:v>170</x:v>
      </x:c>
      <x:c r="E40" s="13" t="s">
        <x:v>459</x:v>
      </x:c>
      <x:c r="F40" s="13" t="str">
        <x:v>UT05-TC007 passed: paid booking cancellation triggers a full refund.</x:v>
      </x:c>
      <x:c r="G40" s="13" t="str">
        <x:v>Pass</x:v>
      </x:c>
      <x:c r="H40" s="13" t="s">
        <x:v>478</x:v>
      </x:c>
      <x:c r="I40" s="17" t="s">
        <x:v>5</x:v>
      </x:c>
    </x:row>
    <x:row r="41" ht="69.75">
      <x:c r="A41" s="17" t="s">
        <x:v>278</x:v>
      </x:c>
      <x:c r="B41" s="16" t="s">
        <x:v>479</x:v>
      </x:c>
      <x:c r="C41" s="13" t="s">
        <x:v>480</x:v>
      </x:c>
      <x:c r="D41" s="13" t="s">
        <x:v>170</x:v>
      </x:c>
      <x:c r="E41" s="13" t="s">
        <x:v>481</x:v>
      </x:c>
      <x:c r="F41" s="13" t="s">
        <x:v>171</x:v>
      </x:c>
      <x:c r="G41" s="13" t="s">
        <x:v>482</x:v>
      </x:c>
      <x:c r="H41" s="13" t="s">
        <x:v>188</x:v>
      </x:c>
      <x:c r="I41" s="17" t="s">
        <x:v>5</x:v>
      </x:c>
    </x:row>
    <x:row r="42" ht="69.75">
      <x:c r="A42" s="17" t="s">
        <x:v>282</x:v>
      </x:c>
      <x:c r="B42" s="16" t="s">
        <x:v>483</x:v>
      </x:c>
      <x:c r="C42" s="13" t="s">
        <x:v>367</x:v>
      </x:c>
      <x:c r="D42" s="13" t="s">
        <x:v>178</x:v>
      </x:c>
      <x:c r="E42" s="13" t="s">
        <x:v>466</x:v>
      </x:c>
      <x:c r="F42" s="13" t="s">
        <x:v>171</x:v>
      </x:c>
      <x:c r="G42" s="13" t="s">
        <x:v>484</x:v>
      </x:c>
      <x:c r="H42" s="13" t="s">
        <x:v>471</x:v>
      </x:c>
      <x:c r="I42" s="17" t="s">
        <x:v>5</x:v>
      </x:c>
    </x:row>
    <x:row r="43" ht="46.5">
      <x:c r="A43" s="17" t="s">
        <x:v>485</x:v>
      </x:c>
      <x:c r="B43" s="16" t="s">
        <x:v>486</x:v>
      </x:c>
      <x:c r="C43" s="13" t="s">
        <x:v>371</x:v>
      </x:c>
      <x:c r="D43" s="13" t="s">
        <x:v>487</x:v>
      </x:c>
      <x:c r="E43" s="13" t="s">
        <x:v>488</x:v>
      </x:c>
      <x:c r="F43" s="13" t="s">
        <x:v>171</x:v>
      </x:c>
      <x:c r="G43" s="13" t="s">
        <x:v>489</x:v>
      </x:c>
      <x:c r="H43" s="13" t="s">
        <x:v>471</x:v>
      </x:c>
      <x:c r="I43" s="17" t="s">
        <x:v>5</x:v>
      </x:c>
    </x:row>
    <x:row r="44" ht="46.5">
      <x:c r="A44" s="17" t="s">
        <x:v>490</x:v>
      </x:c>
      <x:c r="B44" s="16" t="s">
        <x:v>491</x:v>
      </x:c>
      <x:c r="C44" s="13" t="s">
        <x:v>492</x:v>
      </x:c>
      <x:c r="D44" s="13" t="s">
        <x:v>487</x:v>
      </x:c>
      <x:c r="E44" s="13" t="s">
        <x:v>493</x:v>
      </x:c>
      <x:c r="F44" s="13" t="s">
        <x:v>171</x:v>
      </x:c>
      <x:c r="G44" s="13" t="s">
        <x:v>494</x:v>
      </x:c>
      <x:c r="H44" s="13" t="s">
        <x:v>478</x:v>
      </x:c>
      <x:c r="I44" s="17" t="s">
        <x:v>5</x:v>
      </x:c>
    </x:row>
    <x:row r="45" ht="46.5">
      <x:c r="A45" s="17" t="s">
        <x:v>490</x:v>
      </x:c>
      <x:c r="B45" s="16" t="s">
        <x:v>495</x:v>
      </x:c>
      <x:c r="C45" s="13" t="s">
        <x:v>198</x:v>
      </x:c>
      <x:c r="D45" s="13" t="s">
        <x:v>178</x:v>
      </x:c>
      <x:c r="E45" s="13" t="s">
        <x:v>496</x:v>
      </x:c>
      <x:c r="F45" s="13" t="s">
        <x:v>171</x:v>
      </x:c>
      <x:c r="G45" s="13" t="s">
        <x:v>497</x:v>
      </x:c>
      <x:c r="H45" s="13" t="s">
        <x:v>478</x:v>
      </x:c>
      <x:c r="I45" s="17" t="s">
        <x:v>5</x:v>
      </x:c>
    </x:row>
  </x:sheetData>
  <x:mergeCells>
    <x:mergeCell ref="B27:G27"/>
    <x:mergeCell ref="B28:G28"/>
    <x:mergeCell ref="B29:K29"/>
    <x:mergeCell ref="B30:K30"/>
    <x:mergeCell ref="A32:A33"/>
    <x:mergeCell ref="B32:B33"/>
    <x:mergeCell ref="C32:F32"/>
    <x:mergeCell ref="G32:G33"/>
    <x:mergeCell ref="H32:H33"/>
    <x:mergeCell ref="I32:I33"/>
    <x:mergeCell ref="B26:G26"/>
    <x:mergeCell ref="A2:K2"/>
    <x:mergeCell ref="A3:K3"/>
    <x:mergeCell ref="A4:K4"/>
    <x:mergeCell ref="A22:K22"/>
    <x:mergeCell ref="A24:K24"/>
  </x:mergeCells>
  <x:conditionalFormatting sqref="I34:I45">
    <x:cfRule type="cellIs" dxfId="95" priority="1" operator="equal">
      <x:formula>"Pass"</x:formula>
    </x:cfRule>
    <x:cfRule type="cellIs" dxfId="94" priority="2" operator="equal">
      <x:formula>"Fail"</x:formula>
    </x:cfRule>
    <x:cfRule type="cellIs" dxfId="93" priority="3" operator="equal">
      <x:formula>"Block"</x:formula>
    </x:cfRule>
  </x:conditionalFormatting>
  <x:dataValidations count="1">
    <x:dataValidation type="list" allowBlank="1" sqref="I34:I45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3" width="17.5" style="8" customWidth="1"/>
    <x:col min="4" max="4" width="35" style="8" customWidth="1"/>
    <x:col min="5" max="5" width="19.125" style="8" customWidth="1"/>
    <x:col min="6" max="6" width="14.875" style="8" customWidth="1"/>
    <x:col min="7" max="8" width="7.625" style="8" customWidth="0"/>
    <x:col min="9" max="9" width="8.75" style="8" customWidth="1"/>
    <x:col min="10" max="10" width="19.25" style="8" customWidth="1"/>
    <x:col min="11" max="16384" width="7.625" style="8" customWidth="0"/>
  </x:cols>
  <x:sheetData>
    <x:row r="1" ht="23.25" customHeight="1">
      <x:c r="A1" s="30" t="s">
        <x:v>143</x:v>
      </x:c>
      <x:c r="B1" s="30"/>
      <x:c r="C1" s="30"/>
      <x:c r="D1" s="30"/>
      <x:c r="E1" s="30"/>
      <x:c r="F1" s="30"/>
      <x:c r="I1" s="13"/>
      <x:c r="J1" s="15" t="s">
        <x:v>498</x:v>
      </x:c>
    </x:row>
    <x:row r="2" ht="46.5">
      <x:c r="I2" s="17" t="s">
        <x:v>499</x:v>
      </x:c>
      <x:c r="J2" s="17" t="s">
        <x:v>500</x:v>
      </x:c>
    </x:row>
    <x:row r="3" ht="23.25" customHeight="1">
      <x:c r="A3" s="12" t="s">
        <x:v>144</x:v>
      </x:c>
      <x:c r="B3" s="28" t="s">
        <x:v>501</x:v>
      </x:c>
      <x:c r="C3" s="28"/>
      <x:c r="D3" s="28"/>
      <x:c r="E3" s="12" t="s">
        <x:v>146</x:v>
      </x:c>
      <x:c r="F3" s="14" t="s">
        <x:v>147</x:v>
      </x:c>
      <x:c r="I3" s="17" t="s">
        <x:v>362</x:v>
      </x:c>
      <x:c r="J3" s="17" t="s">
        <x:v>502</x:v>
      </x:c>
    </x:row>
    <x:row r="4" ht="23.25" customHeight="1">
      <x:c r="A4" s="12" t="s">
        <x:v>148</x:v>
      </x:c>
      <x:c r="B4" s="28" t="s">
        <x:v>369</x:v>
      </x:c>
      <x:c r="C4" s="28"/>
      <x:c r="D4" s="28"/>
      <x:c r="E4" s="12" t="s">
        <x:v>150</x:v>
      </x:c>
      <x:c r="F4" s="14" t="s">
        <x:v>78</x:v>
      </x:c>
      <x:c r="I4" s="17" t="s">
        <x:v>366</x:v>
      </x:c>
      <x:c r="J4" s="17" t="s">
        <x:v>372</x:v>
      </x:c>
    </x:row>
    <x:row r="5" ht="46.5" customHeight="1">
      <x:c r="A5" s="12" t="s">
        <x:v>151</x:v>
      </x:c>
      <x:c r="B5" s="28" t="s">
        <x:v>152</x:v>
      </x:c>
      <x:c r="C5" s="28"/>
      <x:c r="D5" s="28"/>
      <x:c r="E5" s="12" t="s">
        <x:v>153</x:v>
      </x:c>
      <x:c r="F5" s="13" t="s">
        <x:v>77</x:v>
      </x:c>
      <x:c r="I5" s="17" t="s">
        <x:v>370</x:v>
      </x:c>
      <x:c r="J5" s="17" t="s">
        <x:v>503</x:v>
      </x:c>
    </x:row>
    <x:row r="6" ht="46.5" customHeight="1">
      <x:c r="A6" s="12" t="s">
        <x:v>154</x:v>
      </x:c>
      <x:c r="B6" s="28" t="s">
        <x:v>504</x:v>
      </x:c>
      <x:c r="C6" s="28"/>
      <x:c r="D6" s="28"/>
      <x:c r="E6" s="28"/>
      <x:c r="F6" s="28"/>
      <x:c r="I6" s="17" t="s">
        <x:v>299</x:v>
      </x:c>
      <x:c r="J6" s="17" t="s">
        <x:v>505</x:v>
      </x:c>
    </x:row>
    <x:row r="7" ht="46.5">
      <x:c r="A7" s="12" t="s">
        <x:v>156</x:v>
      </x:c>
      <x:c r="B7" s="28" t="s">
        <x:v>506</x:v>
      </x:c>
      <x:c r="C7" s="28"/>
      <x:c r="D7" s="28"/>
      <x:c r="E7" s="28"/>
      <x:c r="F7" s="28"/>
    </x:row>
    <x:row r="9" ht="23.25" customHeight="1">
      <x:c r="A9" s="29" t="s">
        <x:v>158</x:v>
      </x:c>
      <x:c r="B9" s="29" t="s">
        <x:v>159</x:v>
      </x:c>
      <x:c r="C9" s="29"/>
      <x:c r="D9" s="29" t="s">
        <x:v>160</x:v>
      </x:c>
      <x:c r="E9" s="29" t="s">
        <x:v>161</x:v>
      </x:c>
      <x:c r="F9" s="29" t="s">
        <x:v>162</x:v>
      </x:c>
    </x:row>
    <x:row r="10" ht="46.5">
      <x:c r="A10" s="29"/>
      <x:c r="B10" s="15" t="s">
        <x:v>507</x:v>
      </x:c>
      <x:c r="C10" s="15" t="s">
        <x:v>498</x:v>
      </x:c>
      <x:c r="D10" s="29"/>
      <x:c r="E10" s="29"/>
      <x:c r="F10" s="29"/>
    </x:row>
    <x:row r="11">
      <x:c r="A11" s="16" t="s">
        <x:v>508</x:v>
      </x:c>
      <x:c r="B11" s="13" t="s">
        <x:v>509</x:v>
      </x:c>
      <x:c r="C11" s="13" t="s">
        <x:v>505</x:v>
      </x:c>
      <x:c r="D11" s="13" t="s">
        <x:v>510</x:v>
      </x:c>
      <x:c r="E11" s="13" t="s">
        <x:v>471</x:v>
      </x:c>
      <x:c r="F11" s="17" t="s">
        <x:v>5</x:v>
      </x:c>
    </x:row>
    <x:row r="12" ht="46.5">
      <x:c r="A12" s="16" t="s">
        <x:v>511</x:v>
      </x:c>
      <x:c r="B12" s="13" t="s">
        <x:v>512</x:v>
      </x:c>
      <x:c r="C12" s="13" t="s">
        <x:v>502</x:v>
      </x:c>
      <x:c r="D12" s="13" t="s">
        <x:v>513</x:v>
      </x:c>
      <x:c r="E12" s="13" t="s">
        <x:v>188</x:v>
      </x:c>
      <x:c r="F12" s="17" t="s">
        <x:v>5</x:v>
      </x:c>
    </x:row>
    <x:row r="13">
      <x:c r="A13" s="16" t="s">
        <x:v>514</x:v>
      </x:c>
      <x:c r="B13" s="13" t="s">
        <x:v>515</x:v>
      </x:c>
      <x:c r="C13" s="13" t="s">
        <x:v>372</x:v>
      </x:c>
      <x:c r="D13" s="13" t="s">
        <x:v>510</x:v>
      </x:c>
      <x:c r="E13" s="13" t="s">
        <x:v>471</x:v>
      </x:c>
      <x:c r="F13" s="17" t="s">
        <x:v>5</x:v>
      </x:c>
    </x:row>
    <x:row r="14">
      <x:c r="A14" s="16" t="s">
        <x:v>516</x:v>
      </x:c>
      <x:c r="B14" s="13" t="s">
        <x:v>517</x:v>
      </x:c>
      <x:c r="C14" s="13" t="s">
        <x:v>503</x:v>
      </x:c>
      <x:c r="D14" s="13" t="s">
        <x:v>510</x:v>
      </x:c>
      <x:c r="E14" s="13" t="s">
        <x:v>471</x:v>
      </x:c>
      <x:c r="F14" s="17" t="s">
        <x:v>5</x:v>
      </x:c>
    </x:row>
    <x:row r="15" ht="46.5">
      <x:c r="A15" s="16" t="s">
        <x:v>518</x:v>
      </x:c>
      <x:c r="B15" s="13" t="s">
        <x:v>519</x:v>
      </x:c>
      <x:c r="C15" s="13" t="s">
        <x:v>500</x:v>
      </x:c>
      <x:c r="D15" s="13" t="s">
        <x:v>520</x:v>
      </x:c>
      <x:c r="E15" s="13" t="s">
        <x:v>188</x:v>
      </x:c>
      <x:c r="F15" s="17" t="s">
        <x:v>5</x:v>
      </x:c>
    </x:row>
  </x:sheetData>
  <x:mergeCells>
    <x:mergeCell ref="B7:F7"/>
    <x:mergeCell ref="A9:A10"/>
    <x:mergeCell ref="B9:C9"/>
    <x:mergeCell ref="D9:D10"/>
    <x:mergeCell ref="E9:E10"/>
    <x:mergeCell ref="F9:F10"/>
    <x:mergeCell ref="A1:F1"/>
    <x:mergeCell ref="B3:D3"/>
    <x:mergeCell ref="B4:D4"/>
    <x:mergeCell ref="B5:D5"/>
    <x:mergeCell ref="B6:F6"/>
  </x:mergeCells>
  <x:conditionalFormatting sqref="F11:F15">
    <x:cfRule type="cellIs" dxfId="92" priority="1" operator="equal">
      <x:formula>"Pass"</x:formula>
    </x:cfRule>
    <x:cfRule type="cellIs" dxfId="91" priority="2" operator="equal">
      <x:formula>"Fail"</x:formula>
    </x:cfRule>
    <x:cfRule type="cellIs" dxfId="90" priority="3" operator="equal">
      <x:formula>"Block"</x:formula>
    </x:cfRule>
  </x:conditionalFormatting>
  <x:dataValidations count="1">
    <x:dataValidation type="list" allowBlank="1" sqref="F11:F15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7.625" defaultRowHeight="23.25"/>
  <x:cols>
    <x:col min="1" max="1" width="29.75" style="8" customWidth="1"/>
    <x:col min="2" max="2" width="14" style="8" customWidth="1"/>
    <x:col min="3" max="4" width="15.75" style="8" customWidth="1"/>
    <x:col min="5" max="5" width="35" style="8" customWidth="1"/>
    <x:col min="6" max="6" width="24.875" style="8" customWidth="1"/>
    <x:col min="7" max="7" width="14.875" style="8" customWidth="1"/>
    <x:col min="8" max="8" width="13.5" style="8" customWidth="1"/>
    <x:col min="9" max="16384" width="7.625" style="8" customWidth="0"/>
  </x:cols>
  <x:sheetData>
    <x:row r="1">
      <x:c r="A1" s="18" t="s">
        <x:v>104</x:v>
      </x:c>
      <x:c r="B1" s="19" t="s">
        <x:v>212</x:v>
      </x:c>
      <x:c r="C1" s="19" t="s">
        <x:v>213</x:v>
      </x:c>
      <x:c r="D1" s="19" t="s">
        <x:v>214</x:v>
      </x:c>
      <x:c r="E1" s="19" t="s">
        <x:v>215</x:v>
      </x:c>
      <x:c r="F1" s="19" t="s">
        <x:v>216</x:v>
      </x:c>
      <x:c r="G1" s="19" t="s">
        <x:v>217</x:v>
      </x:c>
      <x:c r="H1" s="19" t="s">
        <x:v>218</x:v>
      </x:c>
    </x:row>
    <x:row r="2">
      <x:c r="A2" s="13" t="s">
        <x:v>521</x:v>
      </x:c>
      <x:c r="B2" s="17" t="s">
        <x:v>221</x:v>
      </x:c>
      <x:c r="C2" s="17" t="s">
        <x:v>222</x:v>
      </x:c>
      <x:c r="D2" s="17" t="s">
        <x:v>222</x:v>
      </x:c>
      <x:c r="E2" s="17" t="s">
        <x:v>222</x:v>
      </x:c>
      <x:c r="F2" s="17" t="s">
        <x:v>222</x:v>
      </x:c>
      <x:c r="G2" s="17" t="s">
        <x:v>222</x:v>
      </x:c>
      <x:c r="H2" s="17" t="s">
        <x:v>222</x:v>
      </x:c>
    </x:row>
    <x:row r="3">
      <x:c r="A3" s="13" t="s">
        <x:v>432</x:v>
      </x:c>
      <x:c r="B3" s="17" t="s">
        <x:v>171</x:v>
      </x:c>
      <x:c r="C3" s="17" t="s">
        <x:v>222</x:v>
      </x:c>
      <x:c r="D3" s="17" t="s">
        <x:v>221</x:v>
      </x:c>
      <x:c r="E3" s="17" t="s">
        <x:v>221</x:v>
      </x:c>
      <x:c r="F3" s="17" t="s">
        <x:v>221</x:v>
      </x:c>
      <x:c r="G3" s="17" t="s">
        <x:v>221</x:v>
      </x:c>
      <x:c r="H3" s="17" t="s">
        <x:v>221</x:v>
      </x:c>
    </x:row>
    <x:row r="4">
      <x:c r="A4" s="13" t="s">
        <x:v>522</x:v>
      </x:c>
      <x:c r="B4" s="17" t="s">
        <x:v>171</x:v>
      </x:c>
      <x:c r="C4" s="17" t="s">
        <x:v>171</x:v>
      </x:c>
      <x:c r="D4" s="17" t="s">
        <x:v>221</x:v>
      </x:c>
      <x:c r="E4" s="17" t="s">
        <x:v>221</x:v>
      </x:c>
      <x:c r="F4" s="17" t="s">
        <x:v>222</x:v>
      </x:c>
      <x:c r="G4" s="17" t="s">
        <x:v>222</x:v>
      </x:c>
      <x:c r="H4" s="17" t="s">
        <x:v>222</x:v>
      </x:c>
    </x:row>
    <x:row r="5">
      <x:c r="A5" s="13" t="s">
        <x:v>523</x:v>
      </x:c>
      <x:c r="B5" s="17" t="s">
        <x:v>171</x:v>
      </x:c>
      <x:c r="C5" s="17" t="s">
        <x:v>171</x:v>
      </x:c>
      <x:c r="D5" s="17" t="s">
        <x:v>222</x:v>
      </x:c>
      <x:c r="E5" s="17" t="s">
        <x:v>222</x:v>
      </x:c>
      <x:c r="F5" s="17" t="s">
        <x:v>221</x:v>
      </x:c>
      <x:c r="G5" s="17" t="s">
        <x:v>221</x:v>
      </x:c>
      <x:c r="H5" s="17" t="s">
        <x:v>222</x:v>
      </x:c>
    </x:row>
    <x:row r="6" ht="46.5">
      <x:c r="A6" s="13" t="s">
        <x:v>524</x:v>
      </x:c>
      <x:c r="B6" s="17" t="s">
        <x:v>171</x:v>
      </x:c>
      <x:c r="C6" s="17" t="s">
        <x:v>171</x:v>
      </x:c>
      <x:c r="D6" s="17" t="s">
        <x:v>221</x:v>
      </x:c>
      <x:c r="E6" s="17" t="s">
        <x:v>222</x:v>
      </x:c>
      <x:c r="F6" s="17" t="s">
        <x:v>221</x:v>
      </x:c>
      <x:c r="G6" s="17" t="s">
        <x:v>222</x:v>
      </x:c>
      <x:c r="H6" s="17" t="s">
        <x:v>171</x:v>
      </x:c>
    </x:row>
    <x:row r="7">
      <x:c r="A7" s="18" t="s">
        <x:v>229</x:v>
      </x:c>
      <x:c r="B7" s="20"/>
      <x:c r="C7" s="20"/>
      <x:c r="D7" s="20"/>
      <x:c r="E7" s="20"/>
      <x:c r="F7" s="20"/>
      <x:c r="G7" s="20"/>
      <x:c r="H7" s="20"/>
    </x:row>
    <x:row r="8">
      <x:c r="A8" s="13" t="s">
        <x:v>442</x:v>
      </x:c>
      <x:c r="B8" s="17" t="s">
        <x:v>231</x:v>
      </x:c>
      <x:c r="C8" s="17"/>
      <x:c r="D8" s="17"/>
      <x:c r="E8" s="17"/>
      <x:c r="F8" s="17"/>
      <x:c r="G8" s="17"/>
      <x:c r="H8" s="17"/>
    </x:row>
    <x:row r="9">
      <x:c r="A9" s="13" t="s">
        <x:v>443</x:v>
      </x:c>
      <x:c r="B9" s="17"/>
      <x:c r="C9" s="17" t="s">
        <x:v>231</x:v>
      </x:c>
      <x:c r="D9" s="17"/>
      <x:c r="E9" s="17"/>
      <x:c r="F9" s="17"/>
      <x:c r="G9" s="17"/>
      <x:c r="H9" s="17"/>
    </x:row>
    <x:row r="10">
      <x:c r="A10" s="13" t="s">
        <x:v>444</x:v>
      </x:c>
      <x:c r="B10" s="17"/>
      <x:c r="C10" s="17"/>
      <x:c r="D10" s="17"/>
      <x:c r="E10" s="17" t="s">
        <x:v>231</x:v>
      </x:c>
      <x:c r="F10" s="17"/>
      <x:c r="G10" s="17" t="s">
        <x:v>231</x:v>
      </x:c>
      <x:c r="H10" s="17"/>
    </x:row>
    <x:row r="11">
      <x:c r="A11" s="13" t="s">
        <x:v>525</x:v>
      </x:c>
      <x:c r="B11" s="17"/>
      <x:c r="C11" s="17"/>
      <x:c r="D11" s="17" t="s">
        <x:v>231</x:v>
      </x:c>
      <x:c r="E11" s="17"/>
      <x:c r="F11" s="17" t="s">
        <x:v>231</x:v>
      </x:c>
      <x:c r="G11" s="17"/>
      <x:c r="H11" s="17" t="s">
        <x:v>231</x:v>
      </x:c>
    </x:row>
    <x:row r="12">
      <x:c r="A12" s="13" t="s">
        <x:v>237</x:v>
      </x:c>
      <x:c r="B12" s="17"/>
      <x:c r="C12" s="17"/>
      <x:c r="D12" s="17"/>
      <x:c r="E12" s="17"/>
      <x:c r="F12" s="17"/>
      <x:c r="G12" s="17"/>
      <x:c r="H12" s="17"/>
    </x:row>
    <x:row r="13">
      <x:c r="A13" s="35" t="s">
        <x:v>526</x:v>
      </x:c>
      <x:c r="B13" s="35"/>
      <x:c r="C13" s="35"/>
      <x:c r="D13" s="35"/>
      <x:c r="E13" s="35"/>
      <x:c r="F13" s="35"/>
      <x:c r="G13" s="35"/>
      <x:c r="H13" s="35"/>
    </x:row>
    <x:row r="15">
      <x:c r="A15" s="30" t="s">
        <x:v>143</x:v>
      </x:c>
      <x:c r="B15" s="30"/>
      <x:c r="C15" s="30"/>
      <x:c r="D15" s="30"/>
      <x:c r="E15" s="30"/>
      <x:c r="F15" s="30"/>
      <x:c r="G15" s="30"/>
      <x:c r="H15" s="30"/>
    </x:row>
    <x:row r="17">
      <x:c r="A17" s="12" t="s">
        <x:v>144</x:v>
      </x:c>
      <x:c r="B17" s="28" t="s">
        <x:v>527</x:v>
      </x:c>
      <x:c r="C17" s="28"/>
      <x:c r="D17" s="28"/>
      <x:c r="E17" s="28"/>
      <x:c r="F17" s="21"/>
      <x:c r="G17" s="12" t="s">
        <x:v>146</x:v>
      </x:c>
      <x:c r="H17" s="14" t="s">
        <x:v>147</x:v>
      </x:c>
    </x:row>
    <x:row r="18">
      <x:c r="A18" s="12" t="s">
        <x:v>148</x:v>
      </x:c>
      <x:c r="B18" s="28" t="s">
        <x:v>240</x:v>
      </x:c>
      <x:c r="C18" s="28"/>
      <x:c r="D18" s="28"/>
      <x:c r="E18" s="28"/>
      <x:c r="F18" s="21"/>
      <x:c r="G18" s="12" t="s">
        <x:v>150</x:v>
      </x:c>
      <x:c r="H18" s="14" t="s">
        <x:v>78</x:v>
      </x:c>
    </x:row>
    <x:row r="19" ht="46.5" customHeight="1">
      <x:c r="A19" s="12" t="s">
        <x:v>151</x:v>
      </x:c>
      <x:c r="B19" s="28" t="s">
        <x:v>152</x:v>
      </x:c>
      <x:c r="C19" s="28"/>
      <x:c r="D19" s="28"/>
      <x:c r="E19" s="28"/>
      <x:c r="F19" s="21"/>
      <x:c r="G19" s="12" t="s">
        <x:v>153</x:v>
      </x:c>
      <x:c r="H19" s="13" t="s">
        <x:v>77</x:v>
      </x:c>
    </x:row>
    <x:row r="20">
      <x:c r="A20" s="12" t="s">
        <x:v>154</x:v>
      </x:c>
      <x:c r="B20" s="28" t="s">
        <x:v>528</x:v>
      </x:c>
      <x:c r="C20" s="28"/>
      <x:c r="D20" s="28"/>
      <x:c r="E20" s="28"/>
      <x:c r="F20" s="28"/>
      <x:c r="G20" s="28"/>
      <x:c r="H20" s="28"/>
    </x:row>
    <x:row r="21">
      <x:c r="A21" s="12" t="s">
        <x:v>156</x:v>
      </x:c>
      <x:c r="B21" s="28" t="s">
        <x:v>529</x:v>
      </x:c>
      <x:c r="C21" s="28"/>
      <x:c r="D21" s="28"/>
      <x:c r="E21" s="28"/>
      <x:c r="F21" s="28"/>
      <x:c r="G21" s="28"/>
      <x:c r="H21" s="28"/>
    </x:row>
    <x:row r="23">
      <x:c r="A23" s="29" t="s">
        <x:v>243</x:v>
      </x:c>
      <x:c r="B23" s="29" t="s">
        <x:v>158</x:v>
      </x:c>
      <x:c r="C23" s="29" t="s">
        <x:v>159</x:v>
      </x:c>
      <x:c r="D23" s="29"/>
      <x:c r="E23" s="29" t="s">
        <x:v>160</x:v>
      </x:c>
      <x:c r="F23" s="29" t="s">
        <x:v>161</x:v>
      </x:c>
      <x:c r="G23" s="29" t="s">
        <x:v>162</x:v>
      </x:c>
    </x:row>
    <x:row r="24">
      <x:c r="A24" s="29"/>
      <x:c r="B24" s="29"/>
      <x:c r="C24" s="15" t="s">
        <x:v>530</x:v>
      </x:c>
      <x:c r="D24" s="15" t="s">
        <x:v>163</x:v>
      </x:c>
      <x:c r="E24" s="29"/>
      <x:c r="F24" s="29"/>
      <x:c r="G24" s="29"/>
    </x:row>
    <x:row r="25">
      <x:c r="A25" s="17" t="s">
        <x:v>246</x:v>
      </x:c>
      <x:c r="B25" s="16" t="s">
        <x:v>531</x:v>
      </x:c>
      <x:c r="C25" s="13" t="s">
        <x:v>458</x:v>
      </x:c>
      <x:c r="D25" s="13" t="s">
        <x:v>179</x:v>
      </x:c>
      <x:c r="E25" s="13" t="s">
        <x:v>182</x:v>
      </x:c>
      <x:c r="F25" s="13" t="s">
        <x:v>182</x:v>
      </x:c>
      <x:c r="G25" s="17" t="s">
        <x:v>5</x:v>
      </x:c>
    </x:row>
    <x:row r="26">
      <x:c r="A26" s="17" t="s">
        <x:v>252</x:v>
      </x:c>
      <x:c r="B26" s="16" t="s">
        <x:v>532</x:v>
      </x:c>
      <x:c r="C26" s="13" t="s">
        <x:v>190</x:v>
      </x:c>
      <x:c r="D26" s="13" t="s">
        <x:v>170</x:v>
      </x:c>
      <x:c r="E26" s="13" t="s">
        <x:v>185</x:v>
      </x:c>
      <x:c r="F26" s="13" t="s">
        <x:v>185</x:v>
      </x:c>
      <x:c r="G26" s="17" t="s">
        <x:v>5</x:v>
      </x:c>
    </x:row>
    <x:row r="27">
      <x:c r="A27" s="17" t="s">
        <x:v>256</x:v>
      </x:c>
      <x:c r="B27" s="16" t="s">
        <x:v>533</x:v>
      </x:c>
      <x:c r="C27" s="13" t="s">
        <x:v>458</x:v>
      </x:c>
      <x:c r="D27" s="13" t="s">
        <x:v>170</x:v>
      </x:c>
      <x:c r="E27" s="13" t="s">
        <x:v>534</x:v>
      </x:c>
      <x:c r="F27" s="13" t="s">
        <x:v>534</x:v>
      </x:c>
      <x:c r="G27" s="17" t="s">
        <x:v>5</x:v>
      </x:c>
    </x:row>
    <x:row r="28">
      <x:c r="A28" s="17" t="s">
        <x:v>260</x:v>
      </x:c>
      <x:c r="B28" s="16" t="s">
        <x:v>535</x:v>
      </x:c>
      <x:c r="C28" s="13" t="s">
        <x:v>458</x:v>
      </x:c>
      <x:c r="D28" s="13" t="s">
        <x:v>462</x:v>
      </x:c>
      <x:c r="E28" s="13" t="s">
        <x:v>464</x:v>
      </x:c>
      <x:c r="F28" s="13" t="s">
        <x:v>464</x:v>
      </x:c>
      <x:c r="G28" s="17" t="s">
        <x:v>5</x:v>
      </x:c>
    </x:row>
    <x:row r="29">
      <x:c r="A29" s="17" t="s">
        <x:v>268</x:v>
      </x:c>
      <x:c r="B29" s="16" t="s">
        <x:v>536</x:v>
      </x:c>
      <x:c r="C29" s="13" t="s">
        <x:v>458</x:v>
      </x:c>
      <x:c r="D29" s="13" t="s">
        <x:v>537</x:v>
      </x:c>
      <x:c r="E29" s="13" t="s">
        <x:v>534</x:v>
      </x:c>
      <x:c r="F29" s="13" t="s">
        <x:v>534</x:v>
      </x:c>
      <x:c r="G29" s="17" t="s">
        <x:v>5</x:v>
      </x:c>
    </x:row>
    <x:row r="30">
      <x:c r="A30" s="17" t="s">
        <x:v>273</x:v>
      </x:c>
      <x:c r="B30" s="16" t="s">
        <x:v>538</x:v>
      </x:c>
      <x:c r="C30" s="13" t="s">
        <x:v>458</x:v>
      </x:c>
      <x:c r="D30" s="13" t="s">
        <x:v>539</x:v>
      </x:c>
      <x:c r="E30" s="13" t="s">
        <x:v>464</x:v>
      </x:c>
      <x:c r="F30" s="13" t="s">
        <x:v>464</x:v>
      </x:c>
      <x:c r="G30" s="17" t="s">
        <x:v>5</x:v>
      </x:c>
    </x:row>
    <x:row r="31" ht="46.5">
      <x:c r="A31" s="17" t="s">
        <x:v>273</x:v>
      </x:c>
      <x:c r="B31" s="16" t="s">
        <x:v>540</x:v>
      </x:c>
      <x:c r="C31" s="13" t="s">
        <x:v>541</x:v>
      </x:c>
      <x:c r="D31" s="13" t="s">
        <x:v>537</x:v>
      </x:c>
      <x:c r="E31" s="13" t="s">
        <x:v>542</x:v>
      </x:c>
      <x:c r="F31" s="13" t="s">
        <x:v>464</x:v>
      </x:c>
      <x:c r="G31" s="17" t="s">
        <x:v>5</x:v>
      </x:c>
    </x:row>
    <x:row r="32" ht="46.5">
      <x:c r="A32" s="17" t="s">
        <x:v>278</x:v>
      </x:c>
      <x:c r="B32" s="16" t="s">
        <x:v>543</x:v>
      </x:c>
      <x:c r="C32" s="13" t="s">
        <x:v>458</x:v>
      </x:c>
      <x:c r="D32" s="13" t="s">
        <x:v>178</x:v>
      </x:c>
      <x:c r="E32" s="13" t="s">
        <x:v>534</x:v>
      </x:c>
      <x:c r="F32" s="13" t="s">
        <x:v>534</x:v>
      </x:c>
      <x:c r="G32" s="17" t="s">
        <x:v>5</x:v>
      </x:c>
    </x:row>
  </x:sheetData>
  <x:mergeCells>
    <x:mergeCell ref="B21:H21"/>
    <x:mergeCell ref="A23:A24"/>
    <x:mergeCell ref="B23:B24"/>
    <x:mergeCell ref="C23:D23"/>
    <x:mergeCell ref="E23:E24"/>
    <x:mergeCell ref="F23:F24"/>
    <x:mergeCell ref="G23:G24"/>
    <x:mergeCell ref="B20:H20"/>
    <x:mergeCell ref="A13:H13"/>
    <x:mergeCell ref="A15:H15"/>
    <x:mergeCell ref="B17:E17"/>
    <x:mergeCell ref="B18:E18"/>
    <x:mergeCell ref="B19:E19"/>
  </x:mergeCells>
  <x:conditionalFormatting sqref="G25:G32">
    <x:cfRule type="cellIs" dxfId="89" priority="1" operator="equal">
      <x:formula>"Pass"</x:formula>
    </x:cfRule>
    <x:cfRule type="cellIs" dxfId="88" priority="2" operator="equal">
      <x:formula>"Fail"</x:formula>
    </x:cfRule>
    <x:cfRule type="cellIs" dxfId="87" priority="3" operator="equal">
      <x:formula>"Block"</x:formula>
    </x:cfRule>
  </x:conditionalFormatting>
  <x:dataValidations count="1">
    <x:dataValidation type="list" allowBlank="1" sqref="G25:G32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ColWidth="7.625" defaultRowHeight="23.25"/>
  <x:cols>
    <x:col min="1" max="1" width="29.75" style="8" customWidth="1"/>
    <x:col min="2" max="5" width="14" style="8" customWidth="1"/>
    <x:col min="6" max="6" width="40.25" style="8" customWidth="1"/>
    <x:col min="7" max="7" width="15.75" style="8" customWidth="1"/>
    <x:col min="8" max="8" width="14.875" style="8" customWidth="1"/>
    <x:col min="9" max="16384" width="7.625" style="8" customWidth="0"/>
  </x:cols>
  <x:sheetData>
    <x:row r="1">
      <x:c r="A1" s="23" t="s">
        <x:v>423</x:v>
      </x:c>
    </x:row>
    <x:row r="2" ht="22.5" customHeight="1">
      <x:c r="A2" s="39" t="s">
        <x:v>544</x:v>
      </x:c>
      <x:c r="B2" s="39"/>
      <x:c r="C2" s="39"/>
      <x:c r="D2" s="39"/>
      <x:c r="E2" s="39"/>
      <x:c r="F2" s="39"/>
      <x:c r="G2" s="39"/>
      <x:c r="H2" s="39"/>
    </x:row>
    <x:row r="3" ht="22.5" customHeight="1">
      <x:c r="A3" s="39" t="s">
        <x:v>545</x:v>
      </x:c>
      <x:c r="B3" s="39"/>
      <x:c r="C3" s="39"/>
      <x:c r="D3" s="39"/>
      <x:c r="E3" s="39"/>
      <x:c r="F3" s="39"/>
      <x:c r="G3" s="39"/>
      <x:c r="H3" s="39"/>
    </x:row>
    <x:row r="4" ht="22.5" customHeight="1">
      <x:c r="A4" s="39" t="s">
        <x:v>546</x:v>
      </x:c>
      <x:c r="B4" s="39"/>
      <x:c r="C4" s="39"/>
      <x:c r="D4" s="39"/>
      <x:c r="E4" s="39"/>
      <x:c r="F4" s="39"/>
      <x:c r="G4" s="39"/>
      <x:c r="H4" s="39"/>
    </x:row>
    <x:row r="6">
      <x:c r="A6" s="18" t="s">
        <x:v>104</x:v>
      </x:c>
      <x:c r="B6" s="19" t="s">
        <x:v>212</x:v>
      </x:c>
      <x:c r="C6" s="19" t="s">
        <x:v>213</x:v>
      </x:c>
      <x:c r="D6" s="19" t="s">
        <x:v>214</x:v>
      </x:c>
      <x:c r="E6" s="19" t="s">
        <x:v>215</x:v>
      </x:c>
      <x:c r="F6" s="19" t="s">
        <x:v>216</x:v>
      </x:c>
      <x:c r="G6" s="19" t="s">
        <x:v>217</x:v>
      </x:c>
      <x:c r="H6" s="19" t="s">
        <x:v>218</x:v>
      </x:c>
    </x:row>
    <x:row r="7" ht="22.5" customHeight="1">
      <x:c r="A7" s="13" t="s">
        <x:v>547</x:v>
      </x:c>
      <x:c r="B7" s="17" t="s">
        <x:v>548</x:v>
      </x:c>
      <x:c r="C7" s="17" t="s">
        <x:v>549</x:v>
      </x:c>
      <x:c r="D7" s="17" t="s">
        <x:v>550</x:v>
      </x:c>
      <x:c r="E7" s="17" t="s">
        <x:v>551</x:v>
      </x:c>
      <x:c r="F7" s="17" t="s">
        <x:v>478</x:v>
      </x:c>
      <x:c r="G7" s="17" t="s">
        <x:v>471</x:v>
      </x:c>
      <x:c r="H7" s="17" t="s">
        <x:v>552</x:v>
      </x:c>
    </x:row>
    <x:row r="8" ht="22.5" customHeight="1">
      <x:c r="A8" s="13" t="s">
        <x:v>553</x:v>
      </x:c>
      <x:c r="B8" s="17" t="s">
        <x:v>554</x:v>
      </x:c>
      <x:c r="C8" s="17" t="s">
        <x:v>555</x:v>
      </x:c>
      <x:c r="D8" s="17" t="s">
        <x:v>555</x:v>
      </x:c>
      <x:c r="E8" s="17" t="s">
        <x:v>555</x:v>
      </x:c>
      <x:c r="F8" s="17" t="s">
        <x:v>555</x:v>
      </x:c>
      <x:c r="G8" s="17" t="s">
        <x:v>555</x:v>
      </x:c>
      <x:c r="H8" s="17" t="s">
        <x:v>555</x:v>
      </x:c>
    </x:row>
    <x:row r="9" ht="22.5" customHeight="1">
      <x:c r="A9" s="13" t="s">
        <x:v>556</x:v>
      </x:c>
      <x:c r="B9" s="17" t="s">
        <x:v>555</x:v>
      </x:c>
      <x:c r="C9" s="17" t="s">
        <x:v>557</x:v>
      </x:c>
      <x:c r="D9" s="17" t="s">
        <x:v>555</x:v>
      </x:c>
      <x:c r="E9" s="17" t="s">
        <x:v>555</x:v>
      </x:c>
      <x:c r="F9" s="17" t="s">
        <x:v>555</x:v>
      </x:c>
      <x:c r="G9" s="17" t="s">
        <x:v>555</x:v>
      </x:c>
      <x:c r="H9" s="17" t="s">
        <x:v>555</x:v>
      </x:c>
    </x:row>
    <x:row r="10" ht="22.5" customHeight="1">
      <x:c r="A10" s="13" t="s">
        <x:v>558</x:v>
      </x:c>
      <x:c r="B10" s="17" t="s">
        <x:v>555</x:v>
      </x:c>
      <x:c r="C10" s="17" t="s">
        <x:v>555</x:v>
      </x:c>
      <x:c r="D10" s="17" t="s">
        <x:v>559</x:v>
      </x:c>
      <x:c r="E10" s="17" t="s">
        <x:v>555</x:v>
      </x:c>
      <x:c r="F10" s="17" t="s">
        <x:v>555</x:v>
      </x:c>
      <x:c r="G10" s="17" t="s">
        <x:v>555</x:v>
      </x:c>
      <x:c r="H10" s="17" t="s">
        <x:v>555</x:v>
      </x:c>
    </x:row>
    <x:row r="11" ht="22.5" customHeight="1">
      <x:c r="A11" s="13" t="s">
        <x:v>560</x:v>
      </x:c>
      <x:c r="B11" s="17" t="s">
        <x:v>555</x:v>
      </x:c>
      <x:c r="C11" s="17" t="s">
        <x:v>555</x:v>
      </x:c>
      <x:c r="D11" s="17" t="s">
        <x:v>555</x:v>
      </x:c>
      <x:c r="E11" s="17" t="s">
        <x:v>561</x:v>
      </x:c>
      <x:c r="F11" s="17" t="s">
        <x:v>555</x:v>
      </x:c>
      <x:c r="G11" s="17" t="s">
        <x:v>555</x:v>
      </x:c>
      <x:c r="H11" s="17" t="s">
        <x:v>555</x:v>
      </x:c>
    </x:row>
    <x:row r="12" ht="22.5" customHeight="1">
      <x:c r="A12" s="13" t="s">
        <x:v>562</x:v>
      </x:c>
      <x:c r="B12" s="17" t="s">
        <x:v>563</x:v>
      </x:c>
      <x:c r="C12" s="17" t="s">
        <x:v>563</x:v>
      </x:c>
      <x:c r="D12" s="17" t="s">
        <x:v>563</x:v>
      </x:c>
      <x:c r="E12" s="17" t="s">
        <x:v>555</x:v>
      </x:c>
      <x:c r="F12" s="17" t="s">
        <x:v>555</x:v>
      </x:c>
      <x:c r="G12" s="17" t="s">
        <x:v>555</x:v>
      </x:c>
      <x:c r="H12" s="17" t="s">
        <x:v>555</x:v>
      </x:c>
    </x:row>
    <x:row r="13" ht="22.5" customHeight="1">
      <x:c r="A13" s="13" t="s">
        <x:v>564</x:v>
      </x:c>
      <x:c r="B13" s="17" t="s">
        <x:v>555</x:v>
      </x:c>
      <x:c r="C13" s="17" t="s">
        <x:v>565</x:v>
      </x:c>
      <x:c r="D13" s="17" t="s">
        <x:v>555</x:v>
      </x:c>
      <x:c r="E13" s="17" t="s">
        <x:v>555</x:v>
      </x:c>
      <x:c r="F13" s="17" t="s">
        <x:v>555</x:v>
      </x:c>
      <x:c r="G13" s="17" t="s">
        <x:v>555</x:v>
      </x:c>
      <x:c r="H13" s="17" t="s">
        <x:v>555</x:v>
      </x:c>
    </x:row>
    <x:row r="14">
      <x:c r="A14" s="18" t="s">
        <x:v>229</x:v>
      </x:c>
      <x:c r="B14" s="20"/>
      <x:c r="C14" s="20"/>
      <x:c r="D14" s="20"/>
      <x:c r="E14" s="20"/>
      <x:c r="F14" s="20"/>
      <x:c r="G14" s="20"/>
      <x:c r="H14" s="20"/>
    </x:row>
    <x:row r="15" ht="22.5" customHeight="1">
      <x:c r="A15" s="13" t="s">
        <x:v>566</x:v>
      </x:c>
      <x:c r="B15" s="17" t="s">
        <x:v>231</x:v>
      </x:c>
      <x:c r="C15" s="17" t="s">
        <x:v>231</x:v>
      </x:c>
      <x:c r="D15" s="17" t="s">
        <x:v>231</x:v>
      </x:c>
      <x:c r="E15" s="17" t="s">
        <x:v>231</x:v>
      </x:c>
      <x:c r="F15" s="17" t="s">
        <x:v>231</x:v>
      </x:c>
      <x:c r="G15" s="17" t="s">
        <x:v>231</x:v>
      </x:c>
      <x:c r="H15" s="17" t="s">
        <x:v>231</x:v>
      </x:c>
    </x:row>
    <x:row r="16" ht="64.5" customHeight="1">
      <x:c r="A16" s="13" t="s">
        <x:v>567</x:v>
      </x:c>
      <x:c r="B16" s="17" t="s">
        <x:v>231</x:v>
      </x:c>
      <x:c r="C16" s="17" t="s">
        <x:v>231</x:v>
      </x:c>
      <x:c r="D16" s="17" t="s">
        <x:v>231</x:v>
      </x:c>
      <x:c r="E16" s="17" t="s">
        <x:v>231</x:v>
      </x:c>
      <x:c r="F16" s="17" t="s">
        <x:v>231</x:v>
      </x:c>
      <x:c r="G16" s="17" t="s">
        <x:v>231</x:v>
      </x:c>
      <x:c r="H16" s="17" t="s">
        <x:v>231</x:v>
      </x:c>
    </x:row>
    <x:row r="17">
      <x:c r="A17" s="13" t="s">
        <x:v>237</x:v>
      </x:c>
      <x:c r="B17" s="17"/>
      <x:c r="C17" s="17"/>
      <x:c r="D17" s="17"/>
      <x:c r="E17" s="17"/>
      <x:c r="F17" s="17"/>
      <x:c r="G17" s="17"/>
      <x:c r="H17" s="17"/>
    </x:row>
    <x:row r="18" ht="22.5" customHeight="1">
      <x:c r="A18" s="35" t="s">
        <x:v>568</x:v>
      </x:c>
      <x:c r="B18" s="35"/>
      <x:c r="C18" s="35"/>
      <x:c r="D18" s="35"/>
      <x:c r="E18" s="35"/>
      <x:c r="F18" s="35"/>
      <x:c r="G18" s="35"/>
      <x:c r="H18" s="35"/>
    </x:row>
    <x:row r="20" ht="20.100000381469727" customHeight="1">
      <x:c r="A20" s="30" t="s">
        <x:v>143</x:v>
      </x:c>
      <x:c r="B20" s="30"/>
      <x:c r="C20" s="30"/>
      <x:c r="D20" s="30"/>
      <x:c r="E20" s="30"/>
      <x:c r="F20" s="30"/>
      <x:c r="G20" s="30"/>
      <x:c r="H20" s="30"/>
    </x:row>
    <x:row r="22" ht="22.5" customHeight="1">
      <x:c r="A22" s="12" t="s">
        <x:v>144</x:v>
      </x:c>
      <x:c r="B22" s="28" t="s">
        <x:v>569</x:v>
      </x:c>
      <x:c r="C22" s="28"/>
      <x:c r="D22" s="28"/>
      <x:c r="E22" s="28"/>
      <x:c r="F22" s="28"/>
      <x:c r="G22" s="12" t="s">
        <x:v>146</x:v>
      </x:c>
      <x:c r="H22" s="14" t="s">
        <x:v>147</x:v>
      </x:c>
    </x:row>
    <x:row r="23" ht="22.5" customHeight="1">
      <x:c r="A23" s="12" t="s">
        <x:v>148</x:v>
      </x:c>
      <x:c r="B23" s="28" t="s">
        <x:v>570</x:v>
      </x:c>
      <x:c r="C23" s="28"/>
      <x:c r="D23" s="28"/>
      <x:c r="E23" s="28"/>
      <x:c r="F23" s="28"/>
      <x:c r="G23" s="12" t="s">
        <x:v>150</x:v>
      </x:c>
      <x:c r="H23" s="14" t="s">
        <x:v>78</x:v>
      </x:c>
    </x:row>
    <x:row r="24" ht="55.5" customHeight="1">
      <x:c r="A24" s="12" t="s">
        <x:v>151</x:v>
      </x:c>
      <x:c r="B24" s="28" t="s">
        <x:v>152</x:v>
      </x:c>
      <x:c r="C24" s="28"/>
      <x:c r="D24" s="28"/>
      <x:c r="E24" s="28"/>
      <x:c r="F24" s="28"/>
      <x:c r="G24" s="12" t="s">
        <x:v>153</x:v>
      </x:c>
      <x:c r="H24" s="13" t="s">
        <x:v>77</x:v>
      </x:c>
    </x:row>
    <x:row r="25" ht="22.5" customHeight="1">
      <x:c r="A25" s="12" t="s">
        <x:v>154</x:v>
      </x:c>
      <x:c r="B25" s="28" t="s">
        <x:v>571</x:v>
      </x:c>
      <x:c r="C25" s="28"/>
      <x:c r="D25" s="28"/>
      <x:c r="E25" s="28"/>
      <x:c r="F25" s="28"/>
      <x:c r="G25" s="28"/>
      <x:c r="H25" s="28"/>
    </x:row>
    <x:row r="26" ht="22.5" customHeight="1">
      <x:c r="A26" s="12" t="s">
        <x:v>156</x:v>
      </x:c>
      <x:c r="B26" s="28" t="s">
        <x:v>572</x:v>
      </x:c>
      <x:c r="C26" s="28"/>
      <x:c r="D26" s="28"/>
      <x:c r="E26" s="28"/>
      <x:c r="F26" s="28"/>
      <x:c r="G26" s="28"/>
      <x:c r="H26" s="28"/>
    </x:row>
    <x:row r="28" ht="24" customHeight="1">
      <x:c r="A28" s="29" t="s">
        <x:v>243</x:v>
      </x:c>
      <x:c r="B28" s="29" t="s">
        <x:v>158</x:v>
      </x:c>
      <x:c r="C28" s="29" t="s">
        <x:v>159</x:v>
      </x:c>
      <x:c r="D28" s="29"/>
      <x:c r="E28" s="29"/>
      <x:c r="F28" s="29" t="s">
        <x:v>160</x:v>
      </x:c>
      <x:c r="G28" s="29" t="s">
        <x:v>161</x:v>
      </x:c>
      <x:c r="H28" s="29" t="s">
        <x:v>162</x:v>
      </x:c>
    </x:row>
    <x:row r="29" ht="64.5" customHeight="1">
      <x:c r="A29" s="29"/>
      <x:c r="B29" s="29"/>
      <x:c r="C29" s="15" t="s">
        <x:v>573</x:v>
      </x:c>
      <x:c r="D29" s="15" t="s">
        <x:v>229</x:v>
      </x:c>
      <x:c r="E29" s="15" t="s">
        <x:v>31</x:v>
      </x:c>
      <x:c r="F29" s="29"/>
      <x:c r="G29" s="29"/>
      <x:c r="H29" s="29"/>
    </x:row>
    <x:row r="30" ht="22.5" customHeight="1">
      <x:c r="A30" s="17" t="s">
        <x:v>574</x:v>
      </x:c>
      <x:c r="B30" s="16" t="s">
        <x:v>575</x:v>
      </x:c>
      <x:c r="C30" s="13" t="s">
        <x:v>548</x:v>
      </x:c>
      <x:c r="D30" s="13" t="s">
        <x:v>576</x:v>
      </x:c>
      <x:c r="E30" s="13" t="s">
        <x:v>171</x:v>
      </x:c>
      <x:c r="F30" s="13" t="s">
        <x:v>577</x:v>
      </x:c>
      <x:c r="G30" s="13"/>
      <x:c r="H30" s="17" t="s">
        <x:v>5</x:v>
      </x:c>
    </x:row>
    <x:row r="31" ht="85.5" customHeight="1">
      <x:c r="A31" s="17" t="s">
        <x:v>578</x:v>
      </x:c>
      <x:c r="B31" s="16" t="s">
        <x:v>579</x:v>
      </x:c>
      <x:c r="C31" s="13" t="s">
        <x:v>548</x:v>
      </x:c>
      <x:c r="D31" s="13" t="s">
        <x:v>580</x:v>
      </x:c>
      <x:c r="E31" s="13" t="s">
        <x:v>171</x:v>
      </x:c>
      <x:c r="F31" s="13" t="s">
        <x:v>581</x:v>
      </x:c>
      <x:c r="G31" s="13" t="s">
        <x:v>188</x:v>
      </x:c>
      <x:c r="H31" s="17" t="s">
        <x:v>5</x:v>
      </x:c>
    </x:row>
    <x:row r="32" ht="85.5" customHeight="1">
      <x:c r="A32" s="17" t="s">
        <x:v>582</x:v>
      </x:c>
      <x:c r="B32" s="16" t="s">
        <x:v>583</x:v>
      </x:c>
      <x:c r="C32" s="13" t="s">
        <x:v>548</x:v>
      </x:c>
      <x:c r="D32" s="13" t="s">
        <x:v>584</x:v>
      </x:c>
      <x:c r="E32" s="13" t="s">
        <x:v>171</x:v>
      </x:c>
      <x:c r="F32" s="13" t="s">
        <x:v>585</x:v>
      </x:c>
      <x:c r="G32" s="13" t="s">
        <x:v>188</x:v>
      </x:c>
      <x:c r="H32" s="17" t="s">
        <x:v>5</x:v>
      </x:c>
    </x:row>
    <x:row r="33" ht="85.5" customHeight="1">
      <x:c r="A33" s="17" t="s">
        <x:v>586</x:v>
      </x:c>
      <x:c r="B33" s="16" t="s">
        <x:v>587</x:v>
      </x:c>
      <x:c r="C33" s="13" t="s">
        <x:v>548</x:v>
      </x:c>
      <x:c r="D33" s="13" t="s">
        <x:v>588</x:v>
      </x:c>
      <x:c r="E33" s="13" t="s">
        <x:v>171</x:v>
      </x:c>
      <x:c r="F33" s="13" t="s">
        <x:v>589</x:v>
      </x:c>
      <x:c r="G33" s="13" t="s">
        <x:v>188</x:v>
      </x:c>
      <x:c r="H33" s="17" t="s">
        <x:v>5</x:v>
      </x:c>
    </x:row>
    <x:row r="34" ht="22.5" customHeight="1">
      <x:c r="A34" s="17" t="s">
        <x:v>590</x:v>
      </x:c>
      <x:c r="B34" s="16" t="s">
        <x:v>591</x:v>
      </x:c>
      <x:c r="C34" s="13" t="s">
        <x:v>548</x:v>
      </x:c>
      <x:c r="D34" s="13" t="s">
        <x:v>592</x:v>
      </x:c>
      <x:c r="E34" s="13" t="s">
        <x:v>171</x:v>
      </x:c>
      <x:c r="F34" s="13" t="s">
        <x:v>510</x:v>
      </x:c>
      <x:c r="G34" s="13" t="s">
        <x:v>471</x:v>
      </x:c>
      <x:c r="H34" s="17" t="s">
        <x:v>5</x:v>
      </x:c>
    </x:row>
    <x:row r="35" ht="85.5" customHeight="1">
      <x:c r="A35" s="17" t="s">
        <x:v>593</x:v>
      </x:c>
      <x:c r="B35" s="16" t="s">
        <x:v>594</x:v>
      </x:c>
      <x:c r="C35" s="13" t="s">
        <x:v>548</x:v>
      </x:c>
      <x:c r="D35" s="13" t="s">
        <x:v>595</x:v>
      </x:c>
      <x:c r="E35" s="13" t="s">
        <x:v>171</x:v>
      </x:c>
      <x:c r="F35" s="13" t="s">
        <x:v>596</x:v>
      </x:c>
      <x:c r="G35" s="13" t="s">
        <x:v>188</x:v>
      </x:c>
      <x:c r="H35" s="17" t="s">
        <x:v>5</x:v>
      </x:c>
    </x:row>
    <x:row r="36" ht="85.5" customHeight="1">
      <x:c r="A36" s="17" t="s">
        <x:v>597</x:v>
      </x:c>
      <x:c r="B36" s="16" t="s">
        <x:v>598</x:v>
      </x:c>
      <x:c r="C36" s="13" t="s">
        <x:v>549</x:v>
      </x:c>
      <x:c r="D36" s="13" t="s">
        <x:v>576</x:v>
      </x:c>
      <x:c r="E36" s="13" t="s">
        <x:v>171</x:v>
      </x:c>
      <x:c r="F36" s="13" t="s">
        <x:v>599</x:v>
      </x:c>
      <x:c r="G36" s="13" t="s">
        <x:v>188</x:v>
      </x:c>
      <x:c r="H36" s="17" t="s">
        <x:v>5</x:v>
      </x:c>
    </x:row>
    <x:row r="37" ht="22.5" customHeight="1">
      <x:c r="A37" s="17" t="s">
        <x:v>600</x:v>
      </x:c>
      <x:c r="B37" s="16" t="s">
        <x:v>601</x:v>
      </x:c>
      <x:c r="C37" s="13" t="s">
        <x:v>549</x:v>
      </x:c>
      <x:c r="D37" s="13" t="s">
        <x:v>580</x:v>
      </x:c>
      <x:c r="E37" s="13" t="s">
        <x:v>171</x:v>
      </x:c>
      <x:c r="F37" s="13" t="s">
        <x:v>602</x:v>
      </x:c>
      <x:c r="G37" s="13" t="s">
        <x:v>550</x:v>
      </x:c>
      <x:c r="H37" s="17" t="s">
        <x:v>5</x:v>
      </x:c>
    </x:row>
    <x:row r="38" ht="85.5" customHeight="1">
      <x:c r="A38" s="17" t="s">
        <x:v>603</x:v>
      </x:c>
      <x:c r="B38" s="16" t="s">
        <x:v>604</x:v>
      </x:c>
      <x:c r="C38" s="13" t="s">
        <x:v>549</x:v>
      </x:c>
      <x:c r="D38" s="13" t="s">
        <x:v>584</x:v>
      </x:c>
      <x:c r="E38" s="13" t="s">
        <x:v>171</x:v>
      </x:c>
      <x:c r="F38" s="13" t="s">
        <x:v>605</x:v>
      </x:c>
      <x:c r="G38" s="13" t="s">
        <x:v>188</x:v>
      </x:c>
      <x:c r="H38" s="17" t="s">
        <x:v>5</x:v>
      </x:c>
    </x:row>
    <x:row r="39" ht="85.5" customHeight="1">
      <x:c r="A39" s="17" t="s">
        <x:v>606</x:v>
      </x:c>
      <x:c r="B39" s="16" t="s">
        <x:v>607</x:v>
      </x:c>
      <x:c r="C39" s="13" t="s">
        <x:v>549</x:v>
      </x:c>
      <x:c r="D39" s="13" t="s">
        <x:v>588</x:v>
      </x:c>
      <x:c r="E39" s="13" t="s">
        <x:v>171</x:v>
      </x:c>
      <x:c r="F39" s="13" t="s">
        <x:v>608</x:v>
      </x:c>
      <x:c r="G39" s="13" t="s">
        <x:v>188</x:v>
      </x:c>
      <x:c r="H39" s="17" t="s">
        <x:v>5</x:v>
      </x:c>
    </x:row>
    <x:row r="40" ht="22.5" customHeight="1">
      <x:c r="A40" s="17" t="s">
        <x:v>609</x:v>
      </x:c>
      <x:c r="B40" s="16" t="s">
        <x:v>610</x:v>
      </x:c>
      <x:c r="C40" s="13" t="s">
        <x:v>549</x:v>
      </x:c>
      <x:c r="D40" s="13" t="s">
        <x:v>592</x:v>
      </x:c>
      <x:c r="E40" s="13" t="s">
        <x:v>171</x:v>
      </x:c>
      <x:c r="F40" s="13" t="s">
        <x:v>510</x:v>
      </x:c>
      <x:c r="G40" s="13" t="s">
        <x:v>471</x:v>
      </x:c>
      <x:c r="H40" s="17" t="s">
        <x:v>5</x:v>
      </x:c>
    </x:row>
    <x:row r="41" ht="22.5" customHeight="1">
      <x:c r="A41" s="17" t="s">
        <x:v>611</x:v>
      </x:c>
      <x:c r="B41" s="16" t="s">
        <x:v>612</x:v>
      </x:c>
      <x:c r="C41" s="13" t="s">
        <x:v>549</x:v>
      </x:c>
      <x:c r="D41" s="13" t="s">
        <x:v>595</x:v>
      </x:c>
      <x:c r="E41" s="13" t="s">
        <x:v>171</x:v>
      </x:c>
      <x:c r="F41" s="13" t="s">
        <x:v>613</x:v>
      </x:c>
      <x:c r="G41" s="13" t="s">
        <x:v>552</x:v>
      </x:c>
      <x:c r="H41" s="17" t="s">
        <x:v>5</x:v>
      </x:c>
    </x:row>
    <x:row r="42" ht="85.5" customHeight="1">
      <x:c r="A42" s="17" t="s">
        <x:v>614</x:v>
      </x:c>
      <x:c r="B42" s="16" t="s">
        <x:v>615</x:v>
      </x:c>
      <x:c r="C42" s="13" t="s">
        <x:v>550</x:v>
      </x:c>
      <x:c r="D42" s="13" t="s">
        <x:v>576</x:v>
      </x:c>
      <x:c r="E42" s="13" t="s">
        <x:v>171</x:v>
      </x:c>
      <x:c r="F42" s="13" t="s">
        <x:v>616</x:v>
      </x:c>
      <x:c r="G42" s="13" t="s">
        <x:v>188</x:v>
      </x:c>
      <x:c r="H42" s="17" t="s">
        <x:v>5</x:v>
      </x:c>
    </x:row>
    <x:row r="43" ht="85.5" customHeight="1">
      <x:c r="A43" s="17" t="s">
        <x:v>617</x:v>
      </x:c>
      <x:c r="B43" s="16" t="s">
        <x:v>618</x:v>
      </x:c>
      <x:c r="C43" s="13" t="s">
        <x:v>550</x:v>
      </x:c>
      <x:c r="D43" s="13" t="s">
        <x:v>580</x:v>
      </x:c>
      <x:c r="E43" s="13" t="s">
        <x:v>171</x:v>
      </x:c>
      <x:c r="F43" s="13" t="s">
        <x:v>619</x:v>
      </x:c>
      <x:c r="G43" s="13" t="s">
        <x:v>188</x:v>
      </x:c>
      <x:c r="H43" s="17" t="s">
        <x:v>5</x:v>
      </x:c>
    </x:row>
    <x:row r="44" ht="22.5" customHeight="1">
      <x:c r="A44" s="17" t="s">
        <x:v>620</x:v>
      </x:c>
      <x:c r="B44" s="16" t="s">
        <x:v>621</x:v>
      </x:c>
      <x:c r="C44" s="13" t="s">
        <x:v>550</x:v>
      </x:c>
      <x:c r="D44" s="13" t="s">
        <x:v>584</x:v>
      </x:c>
      <x:c r="E44" s="13" t="s">
        <x:v>171</x:v>
      </x:c>
      <x:c r="F44" s="13" t="s">
        <x:v>622</x:v>
      </x:c>
      <x:c r="G44" s="13" t="s">
        <x:v>551</x:v>
      </x:c>
      <x:c r="H44" s="17" t="s">
        <x:v>5</x:v>
      </x:c>
    </x:row>
    <x:row r="45" ht="85.5" customHeight="1">
      <x:c r="A45" s="17" t="s">
        <x:v>623</x:v>
      </x:c>
      <x:c r="B45" s="16" t="s">
        <x:v>624</x:v>
      </x:c>
      <x:c r="C45" s="13" t="s">
        <x:v>550</x:v>
      </x:c>
      <x:c r="D45" s="13" t="s">
        <x:v>588</x:v>
      </x:c>
      <x:c r="E45" s="13" t="s">
        <x:v>171</x:v>
      </x:c>
      <x:c r="F45" s="13" t="s">
        <x:v>625</x:v>
      </x:c>
      <x:c r="G45" s="13" t="s">
        <x:v>188</x:v>
      </x:c>
      <x:c r="H45" s="17" t="s">
        <x:v>5</x:v>
      </x:c>
    </x:row>
    <x:row r="46" ht="22.5" customHeight="1">
      <x:c r="A46" s="17" t="s">
        <x:v>626</x:v>
      </x:c>
      <x:c r="B46" s="16" t="s">
        <x:v>627</x:v>
      </x:c>
      <x:c r="C46" s="13" t="s">
        <x:v>550</x:v>
      </x:c>
      <x:c r="D46" s="13" t="s">
        <x:v>592</x:v>
      </x:c>
      <x:c r="E46" s="13" t="s">
        <x:v>171</x:v>
      </x:c>
      <x:c r="F46" s="13" t="s">
        <x:v>510</x:v>
      </x:c>
      <x:c r="G46" s="13"/>
      <x:c r="H46" s="17" t="s">
        <x:v>5</x:v>
      </x:c>
    </x:row>
    <x:row r="47" ht="85.5" customHeight="1">
      <x:c r="A47" s="17" t="s">
        <x:v>628</x:v>
      </x:c>
      <x:c r="B47" s="16" t="s">
        <x:v>629</x:v>
      </x:c>
      <x:c r="C47" s="13" t="s">
        <x:v>550</x:v>
      </x:c>
      <x:c r="D47" s="13" t="s">
        <x:v>595</x:v>
      </x:c>
      <x:c r="E47" s="13" t="s">
        <x:v>171</x:v>
      </x:c>
      <x:c r="F47" s="13" t="s">
        <x:v>630</x:v>
      </x:c>
      <x:c r="G47" s="13" t="s">
        <x:v>188</x:v>
      </x:c>
      <x:c r="H47" s="17" t="s">
        <x:v>5</x:v>
      </x:c>
    </x:row>
    <x:row r="48" ht="85.5" customHeight="1">
      <x:c r="A48" s="17" t="s">
        <x:v>631</x:v>
      </x:c>
      <x:c r="B48" s="16" t="s">
        <x:v>632</x:v>
      </x:c>
      <x:c r="C48" s="13" t="s">
        <x:v>551</x:v>
      </x:c>
      <x:c r="D48" s="13" t="s">
        <x:v>576</x:v>
      </x:c>
      <x:c r="E48" s="13" t="s">
        <x:v>171</x:v>
      </x:c>
      <x:c r="F48" s="13" t="s">
        <x:v>633</x:v>
      </x:c>
      <x:c r="G48" s="13" t="s">
        <x:v>188</x:v>
      </x:c>
      <x:c r="H48" s="17" t="s">
        <x:v>5</x:v>
      </x:c>
    </x:row>
    <x:row r="49" ht="85.5" customHeight="1">
      <x:c r="A49" s="17" t="s">
        <x:v>634</x:v>
      </x:c>
      <x:c r="B49" s="16" t="s">
        <x:v>635</x:v>
      </x:c>
      <x:c r="C49" s="13" t="s">
        <x:v>551</x:v>
      </x:c>
      <x:c r="D49" s="13" t="s">
        <x:v>580</x:v>
      </x:c>
      <x:c r="E49" s="13" t="s">
        <x:v>171</x:v>
      </x:c>
      <x:c r="F49" s="13" t="s">
        <x:v>636</x:v>
      </x:c>
      <x:c r="G49" s="13" t="s">
        <x:v>188</x:v>
      </x:c>
      <x:c r="H49" s="17" t="s">
        <x:v>5</x:v>
      </x:c>
    </x:row>
    <x:row r="50" ht="85.5" customHeight="1">
      <x:c r="A50" s="17" t="s">
        <x:v>637</x:v>
      </x:c>
      <x:c r="B50" s="16" t="s">
        <x:v>638</x:v>
      </x:c>
      <x:c r="C50" s="13" t="s">
        <x:v>551</x:v>
      </x:c>
      <x:c r="D50" s="13" t="s">
        <x:v>584</x:v>
      </x:c>
      <x:c r="E50" s="13" t="s">
        <x:v>171</x:v>
      </x:c>
      <x:c r="F50" s="13" t="s">
        <x:v>639</x:v>
      </x:c>
      <x:c r="G50" s="13" t="s">
        <x:v>188</x:v>
      </x:c>
      <x:c r="H50" s="17" t="s">
        <x:v>5</x:v>
      </x:c>
    </x:row>
    <x:row r="51" ht="22.5" customHeight="1">
      <x:c r="A51" s="17" t="s">
        <x:v>640</x:v>
      </x:c>
      <x:c r="B51" s="16" t="s">
        <x:v>641</x:v>
      </x:c>
      <x:c r="C51" s="13" t="s">
        <x:v>551</x:v>
      </x:c>
      <x:c r="D51" s="13" t="s">
        <x:v>588</x:v>
      </x:c>
      <x:c r="E51" s="13" t="s">
        <x:v>478</x:v>
      </x:c>
      <x:c r="F51" s="13" t="s">
        <x:v>642</x:v>
      </x:c>
      <x:c r="G51" s="13" t="s">
        <x:v>478</x:v>
      </x:c>
      <x:c r="H51" s="17" t="s">
        <x:v>5</x:v>
      </x:c>
    </x:row>
    <x:row r="52" ht="64.5" customHeight="1">
      <x:c r="A52" s="17" t="s">
        <x:v>640</x:v>
      </x:c>
      <x:c r="B52" s="16" t="s">
        <x:v>643</x:v>
      </x:c>
      <x:c r="C52" s="13" t="s">
        <x:v>551</x:v>
      </x:c>
      <x:c r="D52" s="13" t="s">
        <x:v>588</x:v>
      </x:c>
      <x:c r="E52" s="13" t="s">
        <x:v>644</x:v>
      </x:c>
      <x:c r="F52" s="13" t="s">
        <x:v>645</x:v>
      </x:c>
      <x:c r="G52" s="13" t="s">
        <x:v>188</x:v>
      </x:c>
      <x:c r="H52" s="17" t="s">
        <x:v>5</x:v>
      </x:c>
    </x:row>
    <x:row r="53" ht="85.5" customHeight="1">
      <x:c r="A53" s="17" t="s">
        <x:v>646</x:v>
      </x:c>
      <x:c r="B53" s="16" t="s">
        <x:v>647</x:v>
      </x:c>
      <x:c r="C53" s="13" t="s">
        <x:v>551</x:v>
      </x:c>
      <x:c r="D53" s="13" t="s">
        <x:v>592</x:v>
      </x:c>
      <x:c r="E53" s="13" t="s">
        <x:v>171</x:v>
      </x:c>
      <x:c r="F53" s="13" t="s">
        <x:v>648</x:v>
      </x:c>
      <x:c r="G53" s="13" t="s">
        <x:v>188</x:v>
      </x:c>
      <x:c r="H53" s="17" t="s">
        <x:v>5</x:v>
      </x:c>
    </x:row>
    <x:row r="54" ht="85.5" customHeight="1">
      <x:c r="A54" s="17" t="s">
        <x:v>649</x:v>
      </x:c>
      <x:c r="B54" s="16" t="s">
        <x:v>650</x:v>
      </x:c>
      <x:c r="C54" s="13" t="s">
        <x:v>551</x:v>
      </x:c>
      <x:c r="D54" s="13" t="s">
        <x:v>595</x:v>
      </x:c>
      <x:c r="E54" s="13" t="s">
        <x:v>171</x:v>
      </x:c>
      <x:c r="F54" s="13" t="s">
        <x:v>651</x:v>
      </x:c>
      <x:c r="G54" s="13" t="s">
        <x:v>188</x:v>
      </x:c>
      <x:c r="H54" s="17" t="s">
        <x:v>5</x:v>
      </x:c>
    </x:row>
    <x:row r="55" ht="85.5" customHeight="1">
      <x:c r="A55" s="17" t="s">
        <x:v>652</x:v>
      </x:c>
      <x:c r="B55" s="16" t="s">
        <x:v>653</x:v>
      </x:c>
      <x:c r="C55" s="13" t="s">
        <x:v>478</x:v>
      </x:c>
      <x:c r="D55" s="13" t="s">
        <x:v>576</x:v>
      </x:c>
      <x:c r="E55" s="13" t="s">
        <x:v>171</x:v>
      </x:c>
      <x:c r="F55" s="13" t="s">
        <x:v>654</x:v>
      </x:c>
      <x:c r="G55" s="13" t="s">
        <x:v>188</x:v>
      </x:c>
      <x:c r="H55" s="17" t="s">
        <x:v>5</x:v>
      </x:c>
    </x:row>
    <x:row r="56" ht="85.5" customHeight="1">
      <x:c r="A56" s="17" t="s">
        <x:v>655</x:v>
      </x:c>
      <x:c r="B56" s="16" t="s">
        <x:v>656</x:v>
      </x:c>
      <x:c r="C56" s="13" t="s">
        <x:v>478</x:v>
      </x:c>
      <x:c r="D56" s="13" t="s">
        <x:v>580</x:v>
      </x:c>
      <x:c r="E56" s="13" t="s">
        <x:v>171</x:v>
      </x:c>
      <x:c r="F56" s="13" t="s">
        <x:v>657</x:v>
      </x:c>
      <x:c r="G56" s="13" t="s">
        <x:v>188</x:v>
      </x:c>
      <x:c r="H56" s="17" t="s">
        <x:v>5</x:v>
      </x:c>
    </x:row>
    <x:row r="57" ht="85.5" customHeight="1">
      <x:c r="A57" s="17" t="s">
        <x:v>658</x:v>
      </x:c>
      <x:c r="B57" s="16" t="s">
        <x:v>659</x:v>
      </x:c>
      <x:c r="C57" s="13" t="s">
        <x:v>478</x:v>
      </x:c>
      <x:c r="D57" s="13" t="s">
        <x:v>584</x:v>
      </x:c>
      <x:c r="E57" s="13" t="s">
        <x:v>171</x:v>
      </x:c>
      <x:c r="F57" s="13" t="s">
        <x:v>660</x:v>
      </x:c>
      <x:c r="G57" s="13" t="s">
        <x:v>188</x:v>
      </x:c>
      <x:c r="H57" s="17" t="s">
        <x:v>5</x:v>
      </x:c>
    </x:row>
    <x:row r="58" ht="85.5" customHeight="1">
      <x:c r="A58" s="17" t="s">
        <x:v>661</x:v>
      </x:c>
      <x:c r="B58" s="16" t="s">
        <x:v>662</x:v>
      </x:c>
      <x:c r="C58" s="13" t="s">
        <x:v>478</x:v>
      </x:c>
      <x:c r="D58" s="13" t="s">
        <x:v>588</x:v>
      </x:c>
      <x:c r="E58" s="13" t="s">
        <x:v>171</x:v>
      </x:c>
      <x:c r="F58" s="13" t="s">
        <x:v>663</x:v>
      </x:c>
      <x:c r="G58" s="13" t="s">
        <x:v>188</x:v>
      </x:c>
      <x:c r="H58" s="17" t="s">
        <x:v>5</x:v>
      </x:c>
    </x:row>
    <x:row r="59" ht="85.5" customHeight="1">
      <x:c r="A59" s="17" t="s">
        <x:v>664</x:v>
      </x:c>
      <x:c r="B59" s="16" t="s">
        <x:v>665</x:v>
      </x:c>
      <x:c r="C59" s="13" t="s">
        <x:v>478</x:v>
      </x:c>
      <x:c r="D59" s="13" t="s">
        <x:v>592</x:v>
      </x:c>
      <x:c r="E59" s="13" t="s">
        <x:v>171</x:v>
      </x:c>
      <x:c r="F59" s="13" t="s">
        <x:v>666</x:v>
      </x:c>
      <x:c r="G59" s="13" t="s">
        <x:v>188</x:v>
      </x:c>
      <x:c r="H59" s="17" t="s">
        <x:v>5</x:v>
      </x:c>
    </x:row>
    <x:row r="60" ht="85.5" customHeight="1">
      <x:c r="A60" s="17" t="s">
        <x:v>667</x:v>
      </x:c>
      <x:c r="B60" s="16" t="s">
        <x:v>668</x:v>
      </x:c>
      <x:c r="C60" s="13" t="s">
        <x:v>478</x:v>
      </x:c>
      <x:c r="D60" s="13" t="s">
        <x:v>595</x:v>
      </x:c>
      <x:c r="E60" s="13" t="s">
        <x:v>171</x:v>
      </x:c>
      <x:c r="F60" s="13" t="s">
        <x:v>669</x:v>
      </x:c>
      <x:c r="G60" s="13" t="s">
        <x:v>188</x:v>
      </x:c>
      <x:c r="H60" s="17" t="s">
        <x:v>5</x:v>
      </x:c>
    </x:row>
    <x:row r="61" ht="85.5" customHeight="1">
      <x:c r="A61" s="17" t="s">
        <x:v>670</x:v>
      </x:c>
      <x:c r="B61" s="16" t="s">
        <x:v>671</x:v>
      </x:c>
      <x:c r="C61" s="13" t="s">
        <x:v>471</x:v>
      </x:c>
      <x:c r="D61" s="13" t="s">
        <x:v>576</x:v>
      </x:c>
      <x:c r="E61" s="13" t="s">
        <x:v>171</x:v>
      </x:c>
      <x:c r="F61" s="13" t="s">
        <x:v>672</x:v>
      </x:c>
      <x:c r="G61" s="13" t="s">
        <x:v>188</x:v>
      </x:c>
      <x:c r="H61" s="17" t="s">
        <x:v>5</x:v>
      </x:c>
    </x:row>
    <x:row r="62" ht="85.5" customHeight="1">
      <x:c r="A62" s="17" t="s">
        <x:v>673</x:v>
      </x:c>
      <x:c r="B62" s="16" t="s">
        <x:v>674</x:v>
      </x:c>
      <x:c r="C62" s="13" t="s">
        <x:v>471</x:v>
      </x:c>
      <x:c r="D62" s="13" t="s">
        <x:v>580</x:v>
      </x:c>
      <x:c r="E62" s="13" t="s">
        <x:v>171</x:v>
      </x:c>
      <x:c r="F62" s="13" t="s">
        <x:v>675</x:v>
      </x:c>
      <x:c r="G62" s="13" t="s">
        <x:v>188</x:v>
      </x:c>
      <x:c r="H62" s="17" t="s">
        <x:v>5</x:v>
      </x:c>
    </x:row>
    <x:row r="63" ht="85.5" customHeight="1">
      <x:c r="A63" s="17" t="s">
        <x:v>676</x:v>
      </x:c>
      <x:c r="B63" s="16" t="s">
        <x:v>677</x:v>
      </x:c>
      <x:c r="C63" s="13" t="s">
        <x:v>471</x:v>
      </x:c>
      <x:c r="D63" s="13" t="s">
        <x:v>584</x:v>
      </x:c>
      <x:c r="E63" s="13" t="s">
        <x:v>171</x:v>
      </x:c>
      <x:c r="F63" s="13" t="s">
        <x:v>678</x:v>
      </x:c>
      <x:c r="G63" s="13" t="s">
        <x:v>188</x:v>
      </x:c>
      <x:c r="H63" s="17" t="s">
        <x:v>5</x:v>
      </x:c>
    </x:row>
    <x:row r="64" ht="85.5" customHeight="1">
      <x:c r="A64" s="17" t="s">
        <x:v>679</x:v>
      </x:c>
      <x:c r="B64" s="16" t="s">
        <x:v>680</x:v>
      </x:c>
      <x:c r="C64" s="13" t="s">
        <x:v>471</x:v>
      </x:c>
      <x:c r="D64" s="13" t="s">
        <x:v>588</x:v>
      </x:c>
      <x:c r="E64" s="13" t="s">
        <x:v>171</x:v>
      </x:c>
      <x:c r="F64" s="13" t="s">
        <x:v>681</x:v>
      </x:c>
      <x:c r="G64" s="13" t="s">
        <x:v>188</x:v>
      </x:c>
      <x:c r="H64" s="17" t="s">
        <x:v>5</x:v>
      </x:c>
    </x:row>
    <x:row r="65" ht="85.5" customHeight="1">
      <x:c r="A65" s="17" t="s">
        <x:v>682</x:v>
      </x:c>
      <x:c r="B65" s="16" t="s">
        <x:v>683</x:v>
      </x:c>
      <x:c r="C65" s="13" t="s">
        <x:v>471</x:v>
      </x:c>
      <x:c r="D65" s="13" t="s">
        <x:v>592</x:v>
      </x:c>
      <x:c r="E65" s="13" t="s">
        <x:v>171</x:v>
      </x:c>
      <x:c r="F65" s="13" t="s">
        <x:v>684</x:v>
      </x:c>
      <x:c r="G65" s="13" t="s">
        <x:v>188</x:v>
      </x:c>
      <x:c r="H65" s="17" t="s">
        <x:v>5</x:v>
      </x:c>
    </x:row>
    <x:row r="66" ht="85.5" customHeight="1">
      <x:c r="A66" s="17" t="s">
        <x:v>685</x:v>
      </x:c>
      <x:c r="B66" s="16" t="s">
        <x:v>686</x:v>
      </x:c>
      <x:c r="C66" s="13" t="s">
        <x:v>471</x:v>
      </x:c>
      <x:c r="D66" s="13" t="s">
        <x:v>595</x:v>
      </x:c>
      <x:c r="E66" s="13" t="s">
        <x:v>171</x:v>
      </x:c>
      <x:c r="F66" s="13" t="s">
        <x:v>687</x:v>
      </x:c>
      <x:c r="G66" s="13" t="s">
        <x:v>188</x:v>
      </x:c>
      <x:c r="H66" s="17" t="s">
        <x:v>5</x:v>
      </x:c>
    </x:row>
    <x:row r="67" ht="85.5" customHeight="1">
      <x:c r="A67" s="17" t="s">
        <x:v>688</x:v>
      </x:c>
      <x:c r="B67" s="16" t="s">
        <x:v>689</x:v>
      </x:c>
      <x:c r="C67" s="13" t="s">
        <x:v>552</x:v>
      </x:c>
      <x:c r="D67" s="13" t="s">
        <x:v>576</x:v>
      </x:c>
      <x:c r="E67" s="13" t="s">
        <x:v>171</x:v>
      </x:c>
      <x:c r="F67" s="13" t="s">
        <x:v>690</x:v>
      </x:c>
      <x:c r="G67" s="13" t="s">
        <x:v>188</x:v>
      </x:c>
      <x:c r="H67" s="17" t="s">
        <x:v>5</x:v>
      </x:c>
    </x:row>
    <x:row r="68" ht="85.5" customHeight="1">
      <x:c r="A68" s="17" t="s">
        <x:v>691</x:v>
      </x:c>
      <x:c r="B68" s="16" t="s">
        <x:v>692</x:v>
      </x:c>
      <x:c r="C68" s="13" t="s">
        <x:v>552</x:v>
      </x:c>
      <x:c r="D68" s="13" t="s">
        <x:v>580</x:v>
      </x:c>
      <x:c r="E68" s="13" t="s">
        <x:v>171</x:v>
      </x:c>
      <x:c r="F68" s="13" t="s">
        <x:v>693</x:v>
      </x:c>
      <x:c r="G68" s="13" t="s">
        <x:v>188</x:v>
      </x:c>
      <x:c r="H68" s="17" t="s">
        <x:v>5</x:v>
      </x:c>
    </x:row>
    <x:row r="69" ht="85.5" customHeight="1">
      <x:c r="A69" s="17" t="s">
        <x:v>694</x:v>
      </x:c>
      <x:c r="B69" s="16" t="s">
        <x:v>695</x:v>
      </x:c>
      <x:c r="C69" s="13" t="s">
        <x:v>552</x:v>
      </x:c>
      <x:c r="D69" s="13" t="s">
        <x:v>584</x:v>
      </x:c>
      <x:c r="E69" s="13" t="s">
        <x:v>171</x:v>
      </x:c>
      <x:c r="F69" s="13" t="s">
        <x:v>696</x:v>
      </x:c>
      <x:c r="G69" s="13" t="s">
        <x:v>188</x:v>
      </x:c>
      <x:c r="H69" s="17" t="s">
        <x:v>5</x:v>
      </x:c>
    </x:row>
    <x:row r="70" ht="85.5" customHeight="1">
      <x:c r="A70" s="17" t="s">
        <x:v>697</x:v>
      </x:c>
      <x:c r="B70" s="16" t="s">
        <x:v>698</x:v>
      </x:c>
      <x:c r="C70" s="13" t="s">
        <x:v>552</x:v>
      </x:c>
      <x:c r="D70" s="13" t="s">
        <x:v>588</x:v>
      </x:c>
      <x:c r="E70" s="13" t="s">
        <x:v>171</x:v>
      </x:c>
      <x:c r="F70" s="13" t="s">
        <x:v>699</x:v>
      </x:c>
      <x:c r="G70" s="13" t="s">
        <x:v>188</x:v>
      </x:c>
      <x:c r="H70" s="17" t="s">
        <x:v>5</x:v>
      </x:c>
    </x:row>
    <x:row r="71" ht="85.5" customHeight="1">
      <x:c r="A71" s="17" t="s">
        <x:v>700</x:v>
      </x:c>
      <x:c r="B71" s="16" t="s">
        <x:v>701</x:v>
      </x:c>
      <x:c r="C71" s="13" t="s">
        <x:v>552</x:v>
      </x:c>
      <x:c r="D71" s="13" t="s">
        <x:v>592</x:v>
      </x:c>
      <x:c r="E71" s="13" t="s">
        <x:v>171</x:v>
      </x:c>
      <x:c r="F71" s="13" t="s">
        <x:v>702</x:v>
      </x:c>
      <x:c r="G71" s="13" t="s">
        <x:v>188</x:v>
      </x:c>
      <x:c r="H71" s="17" t="s">
        <x:v>5</x:v>
      </x:c>
    </x:row>
    <x:row r="72" ht="85.5" customHeight="1">
      <x:c r="A72" s="17" t="s">
        <x:v>703</x:v>
      </x:c>
      <x:c r="B72" s="16" t="s">
        <x:v>704</x:v>
      </x:c>
      <x:c r="C72" s="13" t="s">
        <x:v>552</x:v>
      </x:c>
      <x:c r="D72" s="13" t="s">
        <x:v>595</x:v>
      </x:c>
      <x:c r="E72" s="13" t="s">
        <x:v>171</x:v>
      </x:c>
      <x:c r="F72" s="13" t="s">
        <x:v>705</x:v>
      </x:c>
      <x:c r="G72" s="13" t="s">
        <x:v>188</x:v>
      </x:c>
      <x:c r="H72" s="17" t="s">
        <x:v>5</x:v>
      </x:c>
    </x:row>
    <x:row r="73" ht="64.5" customHeight="1">
      <x:c r="A73" s="17" t="s">
        <x:v>706</x:v>
      </x:c>
      <x:c r="B73" s="16" t="s">
        <x:v>707</x:v>
      </x:c>
      <x:c r="C73" s="13" t="s">
        <x:v>549</x:v>
      </x:c>
      <x:c r="D73" s="13" t="s">
        <x:v>708</x:v>
      </x:c>
      <x:c r="E73" s="13" t="s">
        <x:v>171</x:v>
      </x:c>
      <x:c r="F73" s="13" t="s">
        <x:v>709</x:v>
      </x:c>
      <x:c r="G73" s="13" t="s">
        <x:v>188</x:v>
      </x:c>
      <x:c r="H73" s="17" t="s">
        <x:v>5</x:v>
      </x:c>
    </x:row>
    <x:row r="74" ht="85.5" customHeight="1">
      <x:c r="A74" s="17" t="s">
        <x:v>706</x:v>
      </x:c>
      <x:c r="B74" s="16" t="s">
        <x:v>710</x:v>
      </x:c>
      <x:c r="C74" s="13" t="s">
        <x:v>711</x:v>
      </x:c>
      <x:c r="D74" s="13" t="s">
        <x:v>712</x:v>
      </x:c>
      <x:c r="E74" s="13" t="s">
        <x:v>171</x:v>
      </x:c>
      <x:c r="F74" s="13" t="str">
        <x:v>UT08-TC045 passed: NO_SHOW before the 15-minute grace period is rejected.</x:v>
      </x:c>
      <x:c r="G74" s="13" t="str">
        <x:v>Pass</x:v>
      </x:c>
      <x:c r="H74" s="17" t="s">
        <x:v>5</x:v>
      </x:c>
    </x:row>
  </x:sheetData>
  <x:mergeCells>
    <x:mergeCell ref="H28:H29"/>
    <x:mergeCell ref="B23:F23"/>
    <x:mergeCell ref="B24:F24"/>
    <x:mergeCell ref="B25:H25"/>
    <x:mergeCell ref="B26:H26"/>
    <x:mergeCell ref="A28:A29"/>
    <x:mergeCell ref="B28:B29"/>
    <x:mergeCell ref="C28:E28"/>
    <x:mergeCell ref="F28:F29"/>
    <x:mergeCell ref="G28:G29"/>
    <x:mergeCell ref="B22:F22"/>
    <x:mergeCell ref="A2:H2"/>
    <x:mergeCell ref="A3:H3"/>
    <x:mergeCell ref="A4:H4"/>
    <x:mergeCell ref="A18:H18"/>
    <x:mergeCell ref="A20:H20"/>
  </x:mergeCells>
  <x:conditionalFormatting sqref="H30:H74">
    <x:cfRule type="cellIs" dxfId="86" priority="1" operator="equal">
      <x:formula>"Pass"</x:formula>
    </x:cfRule>
    <x:cfRule type="cellIs" dxfId="85" priority="2" operator="equal">
      <x:formula>"Fail"</x:formula>
    </x:cfRule>
    <x:cfRule type="cellIs" dxfId="84" priority="3" operator="equal">
      <x:formula>"Block"</x:formula>
    </x:cfRule>
  </x:conditionalFormatting>
  <x:dataValidations count="1">
    <x:dataValidation type="list" allowBlank="1" sqref="H30:H74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2" width="17.5" style="8" customWidth="1"/>
    <x:col min="3" max="3" width="40.25" style="8" customWidth="1"/>
    <x:col min="4" max="4" width="15.75" style="8" customWidth="1"/>
    <x:col min="5" max="5" width="17.75" style="8" customWidth="1"/>
    <x:col min="6" max="8" width="12.25" style="8" customWidth="1"/>
    <x:col min="9" max="9" width="15.5" style="8" customWidth="1"/>
    <x:col min="10" max="16384" width="7.625" style="8" customWidth="0"/>
  </x:cols>
  <x:sheetData>
    <x:row r="1" ht="24">
      <x:c r="A1" s="32" t="s">
        <x:v>100</x:v>
      </x:c>
      <x:c r="B1" s="32"/>
      <x:c r="C1" s="32"/>
      <x:c r="D1" s="32"/>
      <x:c r="E1" s="32"/>
      <x:c r="F1" s="32"/>
      <x:c r="G1" s="32"/>
      <x:c r="H1" s="32"/>
      <x:c r="I1" s="32"/>
    </x:row>
    <x:row r="2" ht="24">
      <x:c r="A2" s="9" t="s">
        <x:v>101</x:v>
      </x:c>
      <x:c r="E2" s="33" t="s">
        <x:v>102</x:v>
      </x:c>
      <x:c r="F2" s="33"/>
    </x:row>
    <x:row r="3" ht="24">
      <x:c r="A3" s="10" t="s">
        <x:v>103</x:v>
      </x:c>
      <x:c r="B3" s="34" t="s">
        <x:v>104</x:v>
      </x:c>
      <x:c r="C3" s="34"/>
      <x:c r="E3" s="10" t="s">
        <x:v>103</x:v>
      </x:c>
      <x:c r="F3" s="34" t="s">
        <x:v>104</x:v>
      </x:c>
      <x:c r="G3" s="34"/>
      <x:c r="H3" s="34"/>
      <x:c r="I3" s="34"/>
    </x:row>
    <x:row r="4" ht="24">
      <x:c r="A4" s="11" t="s">
        <x:v>105</x:v>
      </x:c>
      <x:c r="B4" s="31" t="s">
        <x:v>713</x:v>
      </x:c>
      <x:c r="C4" s="31"/>
      <x:c r="E4" s="11" t="s">
        <x:v>171</x:v>
      </x:c>
      <x:c r="F4" s="31" t="s">
        <x:v>714</x:v>
      </x:c>
      <x:c r="G4" s="31"/>
      <x:c r="H4" s="31"/>
      <x:c r="I4" s="31"/>
    </x:row>
    <x:row r="5" ht="24">
      <x:c r="A5" s="11" t="s">
        <x:v>109</x:v>
      </x:c>
      <x:c r="B5" s="31" t="s">
        <x:v>577</x:v>
      </x:c>
      <x:c r="C5" s="31"/>
    </x:row>
    <x:row r="6" ht="24">
      <x:c r="A6" s="11" t="s">
        <x:v>113</x:v>
      </x:c>
      <x:c r="B6" s="31" t="s">
        <x:v>602</x:v>
      </x:c>
      <x:c r="C6" s="31"/>
    </x:row>
    <x:row r="7" ht="24">
      <x:c r="A7" s="11" t="s">
        <x:v>117</x:v>
      </x:c>
      <x:c r="B7" s="31" t="s">
        <x:v>715</x:v>
      </x:c>
      <x:c r="C7" s="31"/>
    </x:row>
    <x:row r="8" ht="24">
      <x:c r="A8" s="11" t="s">
        <x:v>121</x:v>
      </x:c>
      <x:c r="B8" s="31" t="s">
        <x:v>716</x:v>
      </x:c>
      <x:c r="C8" s="31"/>
    </x:row>
    <x:row r="9" ht="24">
      <x:c r="A9" s="11" t="s">
        <x:v>125</x:v>
      </x:c>
      <x:c r="B9" s="31" t="s">
        <x:v>510</x:v>
      </x:c>
      <x:c r="C9" s="31"/>
    </x:row>
    <x:row r="10" ht="24">
      <x:c r="A10" s="11" t="s">
        <x:v>717</x:v>
      </x:c>
      <x:c r="B10" s="31" t="s">
        <x:v>613</x:v>
      </x:c>
      <x:c r="C10" s="31"/>
    </x:row>
    <x:row r="11" ht="24">
      <x:c r="A11" s="11" t="s">
        <x:v>718</x:v>
      </x:c>
      <x:c r="B11" s="31" t="s">
        <x:v>719</x:v>
      </x:c>
      <x:c r="C11" s="31"/>
    </x:row>
    <x:row r="13">
      <x:c r="A13" s="30" t="s">
        <x:v>143</x:v>
      </x:c>
      <x:c r="B13" s="30"/>
      <x:c r="C13" s="30"/>
      <x:c r="D13" s="30"/>
      <x:c r="E13" s="30"/>
      <x:c r="F13" s="30"/>
      <x:c r="G13" s="30"/>
      <x:c r="H13" s="30"/>
      <x:c r="I13" s="30"/>
    </x:row>
    <x:row r="15">
      <x:c r="A15" s="12" t="s">
        <x:v>144</x:v>
      </x:c>
      <x:c r="B15" s="28" t="s">
        <x:v>720</x:v>
      </x:c>
      <x:c r="C15" s="28"/>
      <x:c r="D15" s="21"/>
      <x:c r="E15" s="21"/>
      <x:c r="F15" s="21"/>
      <x:c r="G15" s="21"/>
      <x:c r="H15" s="12" t="s">
        <x:v>146</x:v>
      </x:c>
      <x:c r="I15" s="14" t="s">
        <x:v>147</x:v>
      </x:c>
    </x:row>
    <x:row r="16">
      <x:c r="A16" s="12" t="s">
        <x:v>148</x:v>
      </x:c>
      <x:c r="B16" s="28" t="s">
        <x:v>721</x:v>
      </x:c>
      <x:c r="C16" s="28"/>
      <x:c r="D16" s="21"/>
      <x:c r="E16" s="21"/>
      <x:c r="F16" s="21"/>
      <x:c r="G16" s="21"/>
      <x:c r="H16" s="12" t="s">
        <x:v>150</x:v>
      </x:c>
      <x:c r="I16" s="14" t="s">
        <x:v>78</x:v>
      </x:c>
    </x:row>
    <x:row r="17" ht="46.5">
      <x:c r="A17" s="12" t="s">
        <x:v>151</x:v>
      </x:c>
      <x:c r="B17" s="28" t="s">
        <x:v>152</x:v>
      </x:c>
      <x:c r="C17" s="28"/>
      <x:c r="D17" s="21"/>
      <x:c r="E17" s="21"/>
      <x:c r="F17" s="21"/>
      <x:c r="G17" s="21"/>
      <x:c r="H17" s="12" t="s">
        <x:v>153</x:v>
      </x:c>
      <x:c r="I17" s="13" t="s">
        <x:v>77</x:v>
      </x:c>
    </x:row>
    <x:row r="18" ht="46.5">
      <x:c r="A18" s="12" t="s">
        <x:v>154</x:v>
      </x:c>
      <x:c r="B18" s="28" t="s">
        <x:v>722</x:v>
      </x:c>
      <x:c r="C18" s="28"/>
      <x:c r="D18" s="28"/>
      <x:c r="E18" s="28"/>
      <x:c r="F18" s="28"/>
      <x:c r="G18" s="28"/>
      <x:c r="H18" s="28"/>
      <x:c r="I18" s="28"/>
    </x:row>
    <x:row r="19" ht="46.5">
      <x:c r="A19" s="12" t="s">
        <x:v>156</x:v>
      </x:c>
      <x:c r="B19" s="28" t="s">
        <x:v>723</x:v>
      </x:c>
      <x:c r="C19" s="28"/>
      <x:c r="D19" s="28"/>
      <x:c r="E19" s="28"/>
      <x:c r="F19" s="28"/>
      <x:c r="G19" s="28"/>
      <x:c r="H19" s="28"/>
      <x:c r="I19" s="28"/>
    </x:row>
    <x:row r="21">
      <x:c r="A21" s="29" t="s">
        <x:v>158</x:v>
      </x:c>
      <x:c r="B21" s="15" t="s">
        <x:v>159</x:v>
      </x:c>
      <x:c r="C21" s="29" t="s">
        <x:v>160</x:v>
      </x:c>
      <x:c r="D21" s="29" t="s">
        <x:v>161</x:v>
      </x:c>
      <x:c r="E21" s="29" t="s">
        <x:v>162</x:v>
      </x:c>
    </x:row>
    <x:row r="22">
      <x:c r="A22" s="29"/>
      <x:c r="B22" s="15" t="s">
        <x:v>724</x:v>
      </x:c>
      <x:c r="C22" s="29"/>
      <x:c r="D22" s="29"/>
      <x:c r="E22" s="29"/>
    </x:row>
    <x:row r="23" ht="46.5">
      <x:c r="A23" s="16" t="s">
        <x:v>725</x:v>
      </x:c>
      <x:c r="B23" s="13" t="s">
        <x:v>548</x:v>
      </x:c>
      <x:c r="C23" s="13" t="s">
        <x:v>726</x:v>
      </x:c>
      <x:c r="D23" s="13" t="s">
        <x:v>548</x:v>
      </x:c>
      <x:c r="E23" s="17" t="s">
        <x:v>5</x:v>
      </x:c>
    </x:row>
    <x:row r="24" ht="46.5">
      <x:c r="A24" s="16" t="s">
        <x:v>727</x:v>
      </x:c>
      <x:c r="B24" s="13" t="s">
        <x:v>549</x:v>
      </x:c>
      <x:c r="C24" s="13" t="s">
        <x:v>728</x:v>
      </x:c>
      <x:c r="D24" s="13" t="s">
        <x:v>549</x:v>
      </x:c>
      <x:c r="E24" s="17" t="s">
        <x:v>5</x:v>
      </x:c>
    </x:row>
    <x:row r="25" ht="46.5">
      <x:c r="A25" s="16" t="s">
        <x:v>729</x:v>
      </x:c>
      <x:c r="B25" s="13" t="s">
        <x:v>550</x:v>
      </x:c>
      <x:c r="C25" s="13" t="s">
        <x:v>730</x:v>
      </x:c>
      <x:c r="D25" s="13" t="s">
        <x:v>550</x:v>
      </x:c>
      <x:c r="E25" s="17" t="s">
        <x:v>5</x:v>
      </x:c>
    </x:row>
    <x:row r="26" ht="46.5">
      <x:c r="A26" s="16" t="s">
        <x:v>731</x:v>
      </x:c>
      <x:c r="B26" s="13" t="s">
        <x:v>551</x:v>
      </x:c>
      <x:c r="C26" s="13" t="s">
        <x:v>732</x:v>
      </x:c>
      <x:c r="D26" s="13" t="s">
        <x:v>551</x:v>
      </x:c>
      <x:c r="E26" s="17" t="s">
        <x:v>5</x:v>
      </x:c>
    </x:row>
    <x:row r="27" ht="46.5">
      <x:c r="A27" s="16" t="s">
        <x:v>733</x:v>
      </x:c>
      <x:c r="B27" s="13" t="s">
        <x:v>478</x:v>
      </x:c>
      <x:c r="C27" s="13" t="s">
        <x:v>734</x:v>
      </x:c>
      <x:c r="D27" s="13" t="s">
        <x:v>478</x:v>
      </x:c>
      <x:c r="E27" s="17" t="s">
        <x:v>5</x:v>
      </x:c>
    </x:row>
    <x:row r="28" ht="46.5">
      <x:c r="A28" s="16" t="s">
        <x:v>735</x:v>
      </x:c>
      <x:c r="B28" s="13" t="s">
        <x:v>471</x:v>
      </x:c>
      <x:c r="C28" s="13" t="s">
        <x:v>736</x:v>
      </x:c>
      <x:c r="D28" s="13" t="s">
        <x:v>471</x:v>
      </x:c>
      <x:c r="E28" s="17" t="s">
        <x:v>5</x:v>
      </x:c>
    </x:row>
    <x:row r="29" ht="46.5">
      <x:c r="A29" s="16" t="s">
        <x:v>737</x:v>
      </x:c>
      <x:c r="B29" s="13" t="s">
        <x:v>552</x:v>
      </x:c>
      <x:c r="C29" s="13" t="s">
        <x:v>738</x:v>
      </x:c>
      <x:c r="D29" s="13" t="s">
        <x:v>552</x:v>
      </x:c>
      <x:c r="E29" s="17" t="s">
        <x:v>5</x:v>
      </x:c>
    </x:row>
    <x:row r="30" ht="46.5">
      <x:c r="A30" s="16" t="s">
        <x:v>739</x:v>
      </x:c>
      <x:c r="B30" s="13" t="s">
        <x:v>179</x:v>
      </x:c>
      <x:c r="C30" s="13" t="s">
        <x:v>740</x:v>
      </x:c>
      <x:c r="D30" s="13" t="s">
        <x:v>741</x:v>
      </x:c>
      <x:c r="E30" s="17" t="s">
        <x:v>5</x:v>
      </x:c>
    </x:row>
  </x:sheetData>
  <x:mergeCells>
    <x:mergeCell ref="B19:I19"/>
    <x:mergeCell ref="A21:A22"/>
    <x:mergeCell ref="C21:C22"/>
    <x:mergeCell ref="D21:D22"/>
    <x:mergeCell ref="E21:E22"/>
    <x:mergeCell ref="B18:I18"/>
    <x:mergeCell ref="B5:C5"/>
    <x:mergeCell ref="B6:C6"/>
    <x:mergeCell ref="B7:C7"/>
    <x:mergeCell ref="B8:C8"/>
    <x:mergeCell ref="B9:C9"/>
    <x:mergeCell ref="B10:C10"/>
    <x:mergeCell ref="B11:C11"/>
    <x:mergeCell ref="A13:I13"/>
    <x:mergeCell ref="B15:C15"/>
    <x:mergeCell ref="B16:C16"/>
    <x:mergeCell ref="B17:C17"/>
    <x:mergeCell ref="A1:I1"/>
    <x:mergeCell ref="E2:F2"/>
    <x:mergeCell ref="B3:C3"/>
    <x:mergeCell ref="F3:I3"/>
    <x:mergeCell ref="B4:C4"/>
    <x:mergeCell ref="F4:I4"/>
  </x:mergeCells>
  <x:conditionalFormatting sqref="E23:E30">
    <x:cfRule type="cellIs" dxfId="83" priority="1" operator="equal">
      <x:formula>"Pass"</x:formula>
    </x:cfRule>
    <x:cfRule type="cellIs" dxfId="82" priority="2" operator="equal">
      <x:formula>"Fail"</x:formula>
    </x:cfRule>
    <x:cfRule type="cellIs" dxfId="81" priority="3" operator="equal">
      <x:formula>"Block"</x:formula>
    </x:cfRule>
  </x:conditionalFormatting>
  <x:dataValidations count="1">
    <x:dataValidation type="list" allowBlank="1" sqref="E23:E30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2" width="15.75" style="8" customWidth="1"/>
    <x:col min="3" max="3" width="49" style="8" customWidth="1"/>
    <x:col min="4" max="4" width="15.75" style="8" customWidth="1"/>
    <x:col min="5" max="5" width="14.875" style="8" customWidth="1"/>
    <x:col min="6" max="7" width="7.625" style="8" customWidth="0"/>
    <x:col min="8" max="8" width="8.75" style="8" customWidth="1"/>
    <x:col min="9" max="9" width="19.25" style="8" customWidth="1"/>
    <x:col min="10" max="16384" width="7.625" style="8" customWidth="0"/>
  </x:cols>
  <x:sheetData>
    <x:row r="1">
      <x:c r="A1" s="30" t="s">
        <x:v>143</x:v>
      </x:c>
      <x:c r="B1" s="30"/>
      <x:c r="C1" s="30"/>
      <x:c r="D1" s="30"/>
      <x:c r="E1" s="30"/>
      <x:c r="H1" s="13"/>
      <x:c r="I1" s="15" t="s">
        <x:v>742</x:v>
      </x:c>
    </x:row>
    <x:row r="2">
      <x:c r="H2" s="17" t="s">
        <x:v>289</x:v>
      </x:c>
      <x:c r="I2" s="17" t="s">
        <x:v>368</x:v>
      </x:c>
    </x:row>
    <x:row r="3">
      <x:c r="A3" s="12" t="s">
        <x:v>144</x:v>
      </x:c>
      <x:c r="B3" s="28" t="s">
        <x:v>743</x:v>
      </x:c>
      <x:c r="C3" s="28"/>
      <x:c r="D3" s="12" t="s">
        <x:v>146</x:v>
      </x:c>
      <x:c r="E3" s="14" t="s">
        <x:v>147</x:v>
      </x:c>
      <x:c r="H3" s="17" t="s">
        <x:v>293</x:v>
      </x:c>
      <x:c r="I3" s="17" t="s">
        <x:v>172</x:v>
      </x:c>
    </x:row>
    <x:row r="4">
      <x:c r="A4" s="12" t="s">
        <x:v>148</x:v>
      </x:c>
      <x:c r="B4" s="28" t="s">
        <x:v>296</x:v>
      </x:c>
      <x:c r="C4" s="28"/>
      <x:c r="D4" s="12" t="s">
        <x:v>150</x:v>
      </x:c>
      <x:c r="E4" s="14" t="s">
        <x:v>78</x:v>
      </x:c>
      <x:c r="H4" s="17" t="s">
        <x:v>297</x:v>
      </x:c>
      <x:c r="I4" s="17" t="s">
        <x:v>744</x:v>
      </x:c>
    </x:row>
    <x:row r="5" ht="46.5">
      <x:c r="A5" s="12" t="s">
        <x:v>151</x:v>
      </x:c>
      <x:c r="B5" s="28" t="s">
        <x:v>152</x:v>
      </x:c>
      <x:c r="C5" s="28"/>
      <x:c r="D5" s="12" t="s">
        <x:v>153</x:v>
      </x:c>
      <x:c r="E5" s="13" t="s">
        <x:v>77</x:v>
      </x:c>
      <x:c r="H5" s="17" t="s">
        <x:v>299</x:v>
      </x:c>
      <x:c r="I5" s="17" t="s">
        <x:v>745</x:v>
      </x:c>
    </x:row>
    <x:row r="6" ht="46.5">
      <x:c r="A6" s="12" t="s">
        <x:v>154</x:v>
      </x:c>
      <x:c r="B6" s="28" t="s">
        <x:v>746</x:v>
      </x:c>
      <x:c r="C6" s="28"/>
      <x:c r="D6" s="28"/>
      <x:c r="E6" s="28"/>
      <x:c r="H6" s="17" t="s">
        <x:v>303</x:v>
      </x:c>
      <x:c r="I6" s="17" t="s">
        <x:v>747</x:v>
      </x:c>
    </x:row>
    <x:row r="7" ht="46.5">
      <x:c r="A7" s="12" t="s">
        <x:v>156</x:v>
      </x:c>
      <x:c r="B7" s="28" t="s">
        <x:v>748</x:v>
      </x:c>
      <x:c r="C7" s="28"/>
      <x:c r="D7" s="28"/>
      <x:c r="E7" s="28"/>
      <x:c r="H7" s="17" t="s">
        <x:v>307</x:v>
      </x:c>
      <x:c r="I7" s="17" t="s">
        <x:v>749</x:v>
      </x:c>
    </x:row>
    <x:row r="8">
      <x:c r="A8" s="35" t="s">
        <x:v>750</x:v>
      </x:c>
      <x:c r="B8" s="35"/>
      <x:c r="C8" s="35"/>
      <x:c r="D8" s="35"/>
      <x:c r="E8" s="35"/>
    </x:row>
    <x:row r="10">
      <x:c r="A10" s="29" t="s">
        <x:v>158</x:v>
      </x:c>
      <x:c r="B10" s="15" t="s">
        <x:v>159</x:v>
      </x:c>
      <x:c r="C10" s="29" t="s">
        <x:v>160</x:v>
      </x:c>
      <x:c r="D10" s="29" t="s">
        <x:v>161</x:v>
      </x:c>
      <x:c r="E10" s="29" t="s">
        <x:v>162</x:v>
      </x:c>
    </x:row>
    <x:row r="11" ht="46.5">
      <x:c r="A11" s="29"/>
      <x:c r="B11" s="15" t="s">
        <x:v>742</x:v>
      </x:c>
      <x:c r="C11" s="29"/>
      <x:c r="D11" s="29"/>
      <x:c r="E11" s="29"/>
    </x:row>
    <x:row r="12" ht="46.5">
      <x:c r="A12" s="16" t="s">
        <x:v>751</x:v>
      </x:c>
      <x:c r="B12" s="13" t="s">
        <x:v>368</x:v>
      </x:c>
      <x:c r="C12" s="13" t="s">
        <x:v>752</x:v>
      </x:c>
      <x:c r="D12" s="13"/>
      <x:c r="E12" s="17" t="s">
        <x:v>5</x:v>
      </x:c>
    </x:row>
    <x:row r="13" ht="46.5">
      <x:c r="A13" s="16" t="s">
        <x:v>753</x:v>
      </x:c>
      <x:c r="B13" s="13" t="s">
        <x:v>172</x:v>
      </x:c>
      <x:c r="C13" s="13" t="s">
        <x:v>754</x:v>
      </x:c>
      <x:c r="D13" s="13"/>
      <x:c r="E13" s="17" t="s">
        <x:v>5</x:v>
      </x:c>
    </x:row>
    <x:row r="14">
      <x:c r="A14" s="16" t="s">
        <x:v>755</x:v>
      </x:c>
      <x:c r="B14" s="13" t="s">
        <x:v>744</x:v>
      </x:c>
      <x:c r="C14" s="13" t="s">
        <x:v>756</x:v>
      </x:c>
      <x:c r="D14" s="13" t="s">
        <x:v>756</x:v>
      </x:c>
      <x:c r="E14" s="17" t="s">
        <x:v>5</x:v>
      </x:c>
    </x:row>
    <x:row r="15" ht="46.5">
      <x:c r="A15" s="16" t="s">
        <x:v>757</x:v>
      </x:c>
      <x:c r="B15" s="13" t="s">
        <x:v>745</x:v>
      </x:c>
      <x:c r="C15" s="13" t="s">
        <x:v>758</x:v>
      </x:c>
      <x:c r="D15" s="13" t="s">
        <x:v>759</x:v>
      </x:c>
      <x:c r="E15" s="17" t="s">
        <x:v>5</x:v>
      </x:c>
    </x:row>
    <x:row r="16">
      <x:c r="A16" s="16" t="s">
        <x:v>760</x:v>
      </x:c>
      <x:c r="B16" s="13" t="s">
        <x:v>747</x:v>
      </x:c>
      <x:c r="C16" s="13" t="s">
        <x:v>761</x:v>
      </x:c>
      <x:c r="D16" s="13" t="s">
        <x:v>762</x:v>
      </x:c>
      <x:c r="E16" s="17" t="s">
        <x:v>5</x:v>
      </x:c>
    </x:row>
    <x:row r="17">
      <x:c r="A17" s="16" t="s">
        <x:v>763</x:v>
      </x:c>
      <x:c r="B17" s="13" t="s">
        <x:v>764</x:v>
      </x:c>
      <x:c r="C17" s="13" t="s">
        <x:v>765</x:v>
      </x:c>
      <x:c r="D17" s="13" t="s">
        <x:v>762</x:v>
      </x:c>
      <x:c r="E17" s="17" t="s">
        <x:v>5</x:v>
      </x:c>
    </x:row>
    <x:row r="18">
      <x:c r="A18" s="16" t="s">
        <x:v>766</x:v>
      </x:c>
      <x:c r="B18" s="13" t="s">
        <x:v>749</x:v>
      </x:c>
      <x:c r="C18" s="13" t="s">
        <x:v>767</x:v>
      </x:c>
      <x:c r="D18" s="13" t="s">
        <x:v>768</x:v>
      </x:c>
      <x:c r="E18" s="17" t="s">
        <x:v>5</x:v>
      </x:c>
    </x:row>
    <x:row r="19" ht="46.5">
      <x:c r="A19" s="16" t="s">
        <x:v>769</x:v>
      </x:c>
      <x:c r="B19" s="13" t="s">
        <x:v>770</x:v>
      </x:c>
      <x:c r="C19" s="13" t="s">
        <x:v>768</x:v>
      </x:c>
      <x:c r="D19" s="13" t="s">
        <x:v>771</x:v>
      </x:c>
      <x:c r="E19" s="17" t="s">
        <x:v>5</x:v>
      </x:c>
      <x:c r="F19" t="str">
        <x:v>UT10-TC008 passed: duration crossing midnight returns no slots.</x:v>
      </x:c>
      <x:c r="G19" t="str">
        <x:v>Pass</x:v>
      </x:c>
    </x:row>
  </x:sheetData>
  <x:mergeCells>
    <x:mergeCell ref="B7:E7"/>
    <x:mergeCell ref="A1:E1"/>
    <x:mergeCell ref="B3:C3"/>
    <x:mergeCell ref="B4:C4"/>
    <x:mergeCell ref="B5:C5"/>
    <x:mergeCell ref="B6:E6"/>
    <x:mergeCell ref="A8:E8"/>
    <x:mergeCell ref="A10:A11"/>
    <x:mergeCell ref="C10:C11"/>
    <x:mergeCell ref="D10:D11"/>
    <x:mergeCell ref="E10:E11"/>
  </x:mergeCells>
  <x:conditionalFormatting sqref="E12:E19">
    <x:cfRule type="cellIs" dxfId="80" priority="1" operator="equal">
      <x:formula>"Pass"</x:formula>
    </x:cfRule>
    <x:cfRule type="cellIs" dxfId="79" priority="2" operator="equal">
      <x:formula>"Fail"</x:formula>
    </x:cfRule>
    <x:cfRule type="cellIs" dxfId="78" priority="3" operator="equal">
      <x:formula>"Block"</x:formula>
    </x:cfRule>
  </x:conditionalFormatting>
  <x:dataValidations count="1">
    <x:dataValidation type="list" allowBlank="1" sqref="E12:E19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4" width="14" style="8" customWidth="1"/>
    <x:col min="5" max="5" width="42" style="8" customWidth="1"/>
    <x:col min="6" max="6" width="29.25" style="8" customWidth="1"/>
    <x:col min="7" max="7" width="14.875" style="8" customWidth="1"/>
    <x:col min="8" max="8" width="12.25" style="8" customWidth="1"/>
    <x:col min="9" max="9" width="14.375" style="8" customWidth="1"/>
    <x:col min="10" max="16384" width="7.625" style="8" customWidth="0"/>
  </x:cols>
  <x:sheetData>
    <x:row r="1" ht="24">
      <x:c r="A1" s="32" t="s">
        <x:v>100</x:v>
      </x:c>
      <x:c r="B1" s="32"/>
      <x:c r="C1" s="32"/>
      <x:c r="D1" s="32"/>
      <x:c r="E1" s="32"/>
      <x:c r="F1" s="32"/>
      <x:c r="G1" s="32"/>
      <x:c r="H1" s="32"/>
      <x:c r="I1" s="32"/>
    </x:row>
    <x:row r="2" ht="24">
      <x:c r="A2" s="9" t="s">
        <x:v>101</x:v>
      </x:c>
      <x:c r="E2" s="33" t="s">
        <x:v>102</x:v>
      </x:c>
      <x:c r="F2" s="33"/>
    </x:row>
    <x:row r="3" ht="24">
      <x:c r="A3" s="10" t="s">
        <x:v>103</x:v>
      </x:c>
      <x:c r="B3" s="34" t="s">
        <x:v>104</x:v>
      </x:c>
      <x:c r="C3" s="34"/>
      <x:c r="E3" s="10" t="s">
        <x:v>103</x:v>
      </x:c>
      <x:c r="F3" s="34" t="s">
        <x:v>104</x:v>
      </x:c>
      <x:c r="G3" s="34"/>
      <x:c r="H3" s="34"/>
      <x:c r="I3" s="34"/>
    </x:row>
    <x:row r="4" ht="24">
      <x:c r="A4" s="11" t="s">
        <x:v>105</x:v>
      </x:c>
      <x:c r="B4" s="31" t="s">
        <x:v>772</x:v>
      </x:c>
      <x:c r="C4" s="31"/>
      <x:c r="E4" s="11" t="s">
        <x:v>107</x:v>
      </x:c>
      <x:c r="F4" s="31" t="s">
        <x:v>124</x:v>
      </x:c>
      <x:c r="G4" s="31"/>
      <x:c r="H4" s="31"/>
      <x:c r="I4" s="31"/>
    </x:row>
    <x:row r="5" ht="24">
      <x:c r="A5" s="11" t="s">
        <x:v>109</x:v>
      </x:c>
      <x:c r="B5" s="31" t="s">
        <x:v>773</x:v>
      </x:c>
      <x:c r="C5" s="31"/>
      <x:c r="E5" s="11" t="s">
        <x:v>111</x:v>
      </x:c>
      <x:c r="F5" s="31" t="s">
        <x:v>774</x:v>
      </x:c>
      <x:c r="G5" s="31"/>
      <x:c r="H5" s="31"/>
      <x:c r="I5" s="31"/>
    </x:row>
    <x:row r="6" ht="24">
      <x:c r="A6" s="11" t="s">
        <x:v>113</x:v>
      </x:c>
      <x:c r="B6" s="31" t="s">
        <x:v>775</x:v>
      </x:c>
      <x:c r="C6" s="31"/>
      <x:c r="E6" s="11" t="s">
        <x:v>115</x:v>
      </x:c>
      <x:c r="F6" s="31" t="s">
        <x:v>776</x:v>
      </x:c>
      <x:c r="G6" s="31"/>
      <x:c r="H6" s="31"/>
      <x:c r="I6" s="31"/>
    </x:row>
    <x:row r="7" ht="24">
      <x:c r="A7" s="11" t="s">
        <x:v>117</x:v>
      </x:c>
      <x:c r="B7" s="31" t="s">
        <x:v>777</x:v>
      </x:c>
      <x:c r="C7" s="31"/>
    </x:row>
    <x:row r="8" ht="24">
      <x:c r="A8" s="11" t="s">
        <x:v>121</x:v>
      </x:c>
      <x:c r="B8" s="31" t="s">
        <x:v>778</x:v>
      </x:c>
      <x:c r="C8" s="31"/>
    </x:row>
    <x:row r="9" ht="24">
      <x:c r="A9" s="11" t="s">
        <x:v>125</x:v>
      </x:c>
      <x:c r="B9" s="31" t="s">
        <x:v>779</x:v>
      </x:c>
      <x:c r="C9" s="31"/>
    </x:row>
    <x:row r="10" ht="24">
      <x:c r="A10" s="11" t="s">
        <x:v>717</x:v>
      </x:c>
      <x:c r="B10" s="31" t="s">
        <x:v>780</x:v>
      </x:c>
      <x:c r="C10" s="31"/>
    </x:row>
    <x:row r="11" ht="24">
      <x:c r="A11" s="11" t="s">
        <x:v>718</x:v>
      </x:c>
      <x:c r="B11" s="31" t="s">
        <x:v>781</x:v>
      </x:c>
      <x:c r="C11" s="31"/>
    </x:row>
    <x:row r="13">
      <x:c r="A13" s="30" t="s">
        <x:v>143</x:v>
      </x:c>
      <x:c r="B13" s="30"/>
      <x:c r="C13" s="30"/>
      <x:c r="D13" s="30"/>
      <x:c r="E13" s="30"/>
      <x:c r="F13" s="30"/>
      <x:c r="G13" s="30"/>
      <x:c r="H13" s="30"/>
      <x:c r="I13" s="30"/>
    </x:row>
    <x:row r="15">
      <x:c r="A15" s="12" t="s">
        <x:v>144</x:v>
      </x:c>
      <x:c r="B15" s="28" t="s">
        <x:v>782</x:v>
      </x:c>
      <x:c r="C15" s="28"/>
      <x:c r="D15" s="28"/>
      <x:c r="E15" s="28"/>
      <x:c r="F15" s="21"/>
      <x:c r="G15" s="21"/>
      <x:c r="H15" s="12" t="s">
        <x:v>146</x:v>
      </x:c>
      <x:c r="I15" s="14" t="s">
        <x:v>147</x:v>
      </x:c>
    </x:row>
    <x:row r="16">
      <x:c r="A16" s="12" t="s">
        <x:v>148</x:v>
      </x:c>
      <x:c r="B16" s="28" t="s">
        <x:v>149</x:v>
      </x:c>
      <x:c r="C16" s="28"/>
      <x:c r="D16" s="28"/>
      <x:c r="E16" s="28"/>
      <x:c r="F16" s="21"/>
      <x:c r="G16" s="21"/>
      <x:c r="H16" s="12" t="s">
        <x:v>150</x:v>
      </x:c>
      <x:c r="I16" s="14" t="s">
        <x:v>78</x:v>
      </x:c>
    </x:row>
    <x:row r="17" ht="46.5">
      <x:c r="A17" s="12" t="s">
        <x:v>151</x:v>
      </x:c>
      <x:c r="B17" s="28" t="s">
        <x:v>152</x:v>
      </x:c>
      <x:c r="C17" s="28"/>
      <x:c r="D17" s="28"/>
      <x:c r="E17" s="28"/>
      <x:c r="F17" s="21"/>
      <x:c r="G17" s="21"/>
      <x:c r="H17" s="12" t="s">
        <x:v>153</x:v>
      </x:c>
      <x:c r="I17" s="13" t="s">
        <x:v>77</x:v>
      </x:c>
    </x:row>
    <x:row r="18" ht="46.5">
      <x:c r="A18" s="12" t="s">
        <x:v>154</x:v>
      </x:c>
      <x:c r="B18" s="28" t="s">
        <x:v>783</x:v>
      </x:c>
      <x:c r="C18" s="28"/>
      <x:c r="D18" s="28"/>
      <x:c r="E18" s="28"/>
      <x:c r="F18" s="28"/>
      <x:c r="G18" s="28"/>
      <x:c r="H18" s="28"/>
      <x:c r="I18" s="28"/>
    </x:row>
    <x:row r="19" ht="46.5">
      <x:c r="A19" s="12" t="s">
        <x:v>156</x:v>
      </x:c>
      <x:c r="B19" s="28" t="s">
        <x:v>784</x:v>
      </x:c>
      <x:c r="C19" s="28"/>
      <x:c r="D19" s="28"/>
      <x:c r="E19" s="28"/>
      <x:c r="F19" s="28"/>
      <x:c r="G19" s="28"/>
      <x:c r="H19" s="28"/>
      <x:c r="I19" s="28"/>
    </x:row>
    <x:row r="21">
      <x:c r="A21" s="29" t="s">
        <x:v>158</x:v>
      </x:c>
      <x:c r="B21" s="29" t="s">
        <x:v>159</x:v>
      </x:c>
      <x:c r="C21" s="29"/>
      <x:c r="D21" s="29"/>
      <x:c r="E21" s="29" t="s">
        <x:v>160</x:v>
      </x:c>
      <x:c r="F21" s="29" t="s">
        <x:v>161</x:v>
      </x:c>
      <x:c r="G21" s="29" t="s">
        <x:v>162</x:v>
      </x:c>
    </x:row>
    <x:row r="22" ht="46.5">
      <x:c r="A22" s="29"/>
      <x:c r="B22" s="15" t="s">
        <x:v>785</x:v>
      </x:c>
      <x:c r="C22" s="15" t="s">
        <x:v>165</x:v>
      </x:c>
      <x:c r="D22" s="15" t="s">
        <x:v>245</x:v>
      </x:c>
      <x:c r="E22" s="29"/>
      <x:c r="F22" s="29"/>
      <x:c r="G22" s="29"/>
    </x:row>
    <x:row r="23" ht="97.5" customHeight="1">
      <x:c r="A23" s="16" t="s">
        <x:v>786</x:v>
      </x:c>
      <x:c r="B23" s="13" t="s">
        <x:v>787</x:v>
      </x:c>
      <x:c r="C23" s="13" t="s">
        <x:v>172</x:v>
      </x:c>
      <x:c r="D23" s="13" t="s">
        <x:v>788</x:v>
      </x:c>
      <x:c r="E23" s="13" t="s">
        <x:v>789</x:v>
      </x:c>
      <x:c r="F23" s="13" t="s">
        <x:v>790</x:v>
      </x:c>
      <x:c r="G23" s="17" t="s">
        <x:v>5</x:v>
      </x:c>
    </x:row>
    <x:row r="24">
      <x:c r="A24" s="16" t="s">
        <x:v>791</x:v>
      </x:c>
      <x:c r="B24" s="13" t="s">
        <x:v>179</x:v>
      </x:c>
      <x:c r="C24" s="13" t="s">
        <x:v>172</x:v>
      </x:c>
      <x:c r="D24" s="13" t="s">
        <x:v>792</x:v>
      </x:c>
      <x:c r="E24" s="13" t="s">
        <x:v>793</x:v>
      </x:c>
      <x:c r="F24" s="13" t="s">
        <x:v>794</x:v>
      </x:c>
      <x:c r="G24" s="17" t="s">
        <x:v>5</x:v>
      </x:c>
    </x:row>
    <x:row r="25" ht="69.75">
      <x:c r="A25" s="16" t="s">
        <x:v>795</x:v>
      </x:c>
      <x:c r="B25" s="13" t="s">
        <x:v>787</x:v>
      </x:c>
      <x:c r="C25" s="13" t="s">
        <x:v>172</x:v>
      </x:c>
      <x:c r="D25" s="13" t="s">
        <x:v>796</x:v>
      </x:c>
      <x:c r="E25" s="13" t="s">
        <x:v>797</x:v>
      </x:c>
      <x:c r="F25" s="13" t="s">
        <x:v>759</x:v>
      </x:c>
      <x:c r="G25" s="17" t="s">
        <x:v>5</x:v>
      </x:c>
    </x:row>
    <x:row r="26" ht="46.5">
      <x:c r="A26" s="16" t="s">
        <x:v>798</x:v>
      </x:c>
      <x:c r="B26" s="13" t="s">
        <x:v>787</x:v>
      </x:c>
      <x:c r="C26" s="13" t="s">
        <x:v>172</x:v>
      </x:c>
      <x:c r="D26" s="13" t="s">
        <x:v>799</x:v>
      </x:c>
      <x:c r="E26" s="13" t="s">
        <x:v>800</x:v>
      </x:c>
      <x:c r="F26" s="13" t="s">
        <x:v>801</x:v>
      </x:c>
      <x:c r="G26" s="17" t="s">
        <x:v>5</x:v>
      </x:c>
    </x:row>
    <x:row r="27" ht="116.25">
      <x:c r="A27" s="16" t="s">
        <x:v>802</x:v>
      </x:c>
      <x:c r="B27" s="13" t="s">
        <x:v>787</x:v>
      </x:c>
      <x:c r="C27" s="13" t="s">
        <x:v>172</x:v>
      </x:c>
      <x:c r="D27" s="13" t="s">
        <x:v>803</x:v>
      </x:c>
      <x:c r="E27" s="13" t="s">
        <x:v>804</x:v>
      </x:c>
      <x:c r="F27" s="13" t="s">
        <x:v>805</x:v>
      </x:c>
      <x:c r="G27" s="17" t="s">
        <x:v>5</x:v>
      </x:c>
    </x:row>
    <x:row r="28" ht="116.25">
      <x:c r="A28" s="16" t="s">
        <x:v>806</x:v>
      </x:c>
      <x:c r="B28" s="13" t="s">
        <x:v>787</x:v>
      </x:c>
      <x:c r="C28" s="13" t="s">
        <x:v>172</x:v>
      </x:c>
      <x:c r="D28" s="13" t="s">
        <x:v>807</x:v>
      </x:c>
      <x:c r="E28" s="13" t="s">
        <x:v>808</x:v>
      </x:c>
      <x:c r="F28" s="13" t="str">
        <x:v>UT11-TC006 passed: COMPLETED booking does not lock availability.</x:v>
      </x:c>
      <x:c r="G28" s="17" t="str">
        <x:v>Pass</x:v>
      </x:c>
    </x:row>
    <x:row r="29">
      <x:c r="A29" s="16" t="s">
        <x:v>809</x:v>
      </x:c>
      <x:c r="B29" s="13" t="s">
        <x:v>787</x:v>
      </x:c>
      <x:c r="C29" s="13" t="s">
        <x:v>190</x:v>
      </x:c>
      <x:c r="D29" s="13" t="s">
        <x:v>171</x:v>
      </x:c>
      <x:c r="E29" s="13" t="s">
        <x:v>810</x:v>
      </x:c>
      <x:c r="F29" s="13" t="s">
        <x:v>185</x:v>
      </x:c>
      <x:c r="G29" s="17" t="s">
        <x:v>5</x:v>
      </x:c>
    </x:row>
    <x:row r="30" ht="46.5">
      <x:c r="A30" s="16" t="s">
        <x:v>811</x:v>
      </x:c>
      <x:c r="B30" s="13" t="s">
        <x:v>787</x:v>
      </x:c>
      <x:c r="C30" s="13" t="s">
        <x:v>193</x:v>
      </x:c>
      <x:c r="D30" s="13" t="s">
        <x:v>812</x:v>
      </x:c>
      <x:c r="E30" s="13" t="s">
        <x:v>813</x:v>
      </x:c>
      <x:c r="F30" s="13" t="s">
        <x:v>188</x:v>
      </x:c>
      <x:c r="G30" s="17" t="s">
        <x:v>5</x:v>
      </x:c>
    </x:row>
    <x:row r="31" ht="93">
      <x:c r="A31" s="16" t="s">
        <x:v>814</x:v>
      </x:c>
      <x:c r="B31" s="13" t="s">
        <x:v>787</x:v>
      </x:c>
      <x:c r="C31" s="13" t="s">
        <x:v>172</x:v>
      </x:c>
      <x:c r="D31" s="13" t="s">
        <x:v>815</x:v>
      </x:c>
      <x:c r="E31" s="13" t="s">
        <x:v>816</x:v>
      </x:c>
      <x:c r="F31" s="13" t="s">
        <x:v>817</x:v>
      </x:c>
      <x:c r="G31" s="17" t="s">
        <x:v>5</x:v>
      </x:c>
    </x:row>
  </x:sheetData>
  <x:mergeCells>
    <x:mergeCell ref="A1:I1"/>
    <x:mergeCell ref="E2:F2"/>
    <x:mergeCell ref="B3:C3"/>
    <x:mergeCell ref="F3:I3"/>
    <x:mergeCell ref="B4:C4"/>
    <x:mergeCell ref="F4:I4"/>
    <x:mergeCell ref="B16:E16"/>
    <x:mergeCell ref="B5:C5"/>
    <x:mergeCell ref="F5:I5"/>
    <x:mergeCell ref="B6:C6"/>
    <x:mergeCell ref="F6:I6"/>
    <x:mergeCell ref="B7:C7"/>
    <x:mergeCell ref="B8:C8"/>
    <x:mergeCell ref="B9:C9"/>
    <x:mergeCell ref="B10:C10"/>
    <x:mergeCell ref="B11:C11"/>
    <x:mergeCell ref="A13:I13"/>
    <x:mergeCell ref="B15:E15"/>
    <x:mergeCell ref="B17:E17"/>
    <x:mergeCell ref="B18:I18"/>
    <x:mergeCell ref="B19:I19"/>
    <x:mergeCell ref="A21:A22"/>
    <x:mergeCell ref="B21:D21"/>
    <x:mergeCell ref="E21:E22"/>
    <x:mergeCell ref="F21:F22"/>
    <x:mergeCell ref="G21:G22"/>
  </x:mergeCells>
  <x:conditionalFormatting sqref="G23:G31">
    <x:cfRule type="cellIs" dxfId="77" priority="1" operator="equal">
      <x:formula>"Pass"</x:formula>
    </x:cfRule>
    <x:cfRule type="cellIs" dxfId="76" priority="2" operator="equal">
      <x:formula>"Fail"</x:formula>
    </x:cfRule>
    <x:cfRule type="cellIs" dxfId="75" priority="3" operator="equal">
      <x:formula>"Block"</x:formula>
    </x:cfRule>
  </x:conditionalFormatting>
  <x:dataValidations count="1">
    <x:dataValidation type="list" allowBlank="1" sqref="G23:G31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3" width="17.5" style="8" customWidth="1"/>
    <x:col min="4" max="4" width="40.25" style="8" customWidth="1"/>
    <x:col min="5" max="5" width="28.25" style="8" customWidth="1"/>
    <x:col min="6" max="6" width="14.875" style="8" customWidth="1"/>
    <x:col min="7" max="8" width="12.25" style="8" customWidth="1"/>
    <x:col min="9" max="9" width="16.625" style="8" customWidth="1"/>
    <x:col min="10" max="16384" width="7.625" style="8" customWidth="0"/>
  </x:cols>
  <x:sheetData>
    <x:row r="1" ht="24">
      <x:c r="A1" s="32" t="s">
        <x:v>100</x:v>
      </x:c>
      <x:c r="B1" s="32"/>
      <x:c r="C1" s="32"/>
      <x:c r="D1" s="32"/>
      <x:c r="E1" s="32"/>
      <x:c r="F1" s="32"/>
      <x:c r="G1" s="32"/>
      <x:c r="H1" s="32"/>
      <x:c r="I1" s="32"/>
    </x:row>
    <x:row r="2" ht="24">
      <x:c r="A2" s="9" t="s">
        <x:v>101</x:v>
      </x:c>
      <x:c r="E2" s="33" t="s">
        <x:v>102</x:v>
      </x:c>
      <x:c r="F2" s="33"/>
    </x:row>
    <x:row r="3" ht="24">
      <x:c r="A3" s="10" t="s">
        <x:v>103</x:v>
      </x:c>
      <x:c r="B3" s="34" t="s">
        <x:v>104</x:v>
      </x:c>
      <x:c r="C3" s="34"/>
      <x:c r="E3" s="10" t="s">
        <x:v>103</x:v>
      </x:c>
      <x:c r="F3" s="34" t="s">
        <x:v>104</x:v>
      </x:c>
      <x:c r="G3" s="34"/>
      <x:c r="H3" s="34"/>
      <x:c r="I3" s="34"/>
    </x:row>
    <x:row r="4" ht="24">
      <x:c r="A4" s="11" t="s">
        <x:v>105</x:v>
      </x:c>
      <x:c r="B4" s="31" t="s">
        <x:v>818</x:v>
      </x:c>
      <x:c r="C4" s="31"/>
      <x:c r="E4" s="11" t="s">
        <x:v>171</x:v>
      </x:c>
      <x:c r="F4" s="31" t="s">
        <x:v>819</x:v>
      </x:c>
      <x:c r="G4" s="31"/>
      <x:c r="H4" s="31"/>
      <x:c r="I4" s="31"/>
    </x:row>
    <x:row r="5" ht="24">
      <x:c r="A5" s="11" t="s">
        <x:v>109</x:v>
      </x:c>
      <x:c r="B5" s="31" t="s">
        <x:v>820</x:v>
      </x:c>
      <x:c r="C5" s="31"/>
    </x:row>
    <x:row r="6" ht="24">
      <x:c r="A6" s="11" t="s">
        <x:v>113</x:v>
      </x:c>
      <x:c r="B6" s="31" t="s">
        <x:v>821</x:v>
      </x:c>
      <x:c r="C6" s="31"/>
    </x:row>
    <x:row r="7" ht="24">
      <x:c r="A7" s="11" t="s">
        <x:v>117</x:v>
      </x:c>
      <x:c r="B7" s="31" t="s">
        <x:v>822</x:v>
      </x:c>
      <x:c r="C7" s="31"/>
    </x:row>
    <x:row r="8" ht="24">
      <x:c r="A8" s="11" t="s">
        <x:v>121</x:v>
      </x:c>
      <x:c r="B8" s="31" t="s">
        <x:v>823</x:v>
      </x:c>
      <x:c r="C8" s="31"/>
    </x:row>
    <x:row r="9" ht="24">
      <x:c r="A9" s="11" t="s">
        <x:v>125</x:v>
      </x:c>
      <x:c r="B9" s="31" t="s">
        <x:v>824</x:v>
      </x:c>
      <x:c r="C9" s="31"/>
    </x:row>
    <x:row r="10" ht="24">
      <x:c r="A10" s="11" t="s">
        <x:v>717</x:v>
      </x:c>
      <x:c r="B10" s="31" t="s">
        <x:v>825</x:v>
      </x:c>
      <x:c r="C10" s="31"/>
    </x:row>
    <x:row r="12">
      <x:c r="A12" s="30" t="s">
        <x:v>143</x:v>
      </x:c>
      <x:c r="B12" s="30"/>
      <x:c r="C12" s="30"/>
      <x:c r="D12" s="30"/>
      <x:c r="E12" s="30"/>
      <x:c r="F12" s="30"/>
      <x:c r="G12" s="30"/>
      <x:c r="H12" s="30"/>
      <x:c r="I12" s="30"/>
    </x:row>
    <x:row r="14">
      <x:c r="A14" s="12" t="s">
        <x:v>144</x:v>
      </x:c>
      <x:c r="B14" s="28" t="s">
        <x:v>826</x:v>
      </x:c>
      <x:c r="C14" s="28"/>
      <x:c r="D14" s="28"/>
      <x:c r="E14" s="21"/>
      <x:c r="F14" s="21"/>
      <x:c r="G14" s="21"/>
      <x:c r="H14" s="12" t="s">
        <x:v>146</x:v>
      </x:c>
      <x:c r="I14" s="14" t="s">
        <x:v>147</x:v>
      </x:c>
    </x:row>
    <x:row r="15">
      <x:c r="A15" s="12" t="s">
        <x:v>148</x:v>
      </x:c>
      <x:c r="B15" s="28" t="s">
        <x:v>827</x:v>
      </x:c>
      <x:c r="C15" s="28"/>
      <x:c r="D15" s="28"/>
      <x:c r="E15" s="21"/>
      <x:c r="F15" s="21"/>
      <x:c r="G15" s="21"/>
      <x:c r="H15" s="12" t="s">
        <x:v>150</x:v>
      </x:c>
      <x:c r="I15" s="14" t="s">
        <x:v>78</x:v>
      </x:c>
    </x:row>
    <x:row r="16" ht="46.5">
      <x:c r="A16" s="12" t="s">
        <x:v>151</x:v>
      </x:c>
      <x:c r="B16" s="28" t="s">
        <x:v>152</x:v>
      </x:c>
      <x:c r="C16" s="28"/>
      <x:c r="D16" s="28"/>
      <x:c r="E16" s="21"/>
      <x:c r="F16" s="21"/>
      <x:c r="G16" s="21"/>
      <x:c r="H16" s="12" t="s">
        <x:v>153</x:v>
      </x:c>
      <x:c r="I16" s="13" t="s">
        <x:v>77</x:v>
      </x:c>
    </x:row>
    <x:row r="17" ht="46.5">
      <x:c r="A17" s="12" t="s">
        <x:v>154</x:v>
      </x:c>
      <x:c r="B17" s="28" t="s">
        <x:v>828</x:v>
      </x:c>
      <x:c r="C17" s="28"/>
      <x:c r="D17" s="28"/>
      <x:c r="E17" s="28"/>
      <x:c r="F17" s="28"/>
      <x:c r="G17" s="28"/>
      <x:c r="H17" s="28"/>
      <x:c r="I17" s="28"/>
    </x:row>
    <x:row r="18" ht="46.5">
      <x:c r="A18" s="12" t="s">
        <x:v>156</x:v>
      </x:c>
      <x:c r="B18" s="28" t="s">
        <x:v>829</x:v>
      </x:c>
      <x:c r="C18" s="28"/>
      <x:c r="D18" s="28"/>
      <x:c r="E18" s="28"/>
      <x:c r="F18" s="28"/>
      <x:c r="G18" s="28"/>
      <x:c r="H18" s="28"/>
      <x:c r="I18" s="28"/>
    </x:row>
    <x:row r="20">
      <x:c r="A20" s="29" t="s">
        <x:v>158</x:v>
      </x:c>
      <x:c r="B20" s="29" t="s">
        <x:v>159</x:v>
      </x:c>
      <x:c r="C20" s="29"/>
      <x:c r="D20" s="29" t="s">
        <x:v>160</x:v>
      </x:c>
      <x:c r="E20" s="29" t="s">
        <x:v>161</x:v>
      </x:c>
      <x:c r="F20" s="29" t="s">
        <x:v>162</x:v>
      </x:c>
    </x:row>
    <x:row r="21">
      <x:c r="A21" s="29"/>
      <x:c r="B21" s="15" t="s">
        <x:v>830</x:v>
      </x:c>
      <x:c r="C21" s="15" t="s">
        <x:v>831</x:v>
      </x:c>
      <x:c r="D21" s="29"/>
      <x:c r="E21" s="29"/>
      <x:c r="F21" s="29"/>
    </x:row>
    <x:row r="22" ht="116.25">
      <x:c r="A22" s="16" t="s">
        <x:v>832</x:v>
      </x:c>
      <x:c r="B22" s="13" t="s">
        <x:v>833</x:v>
      </x:c>
      <x:c r="C22" s="13" t="s">
        <x:v>834</x:v>
      </x:c>
      <x:c r="D22" s="13" t="s">
        <x:v>835</x:v>
      </x:c>
      <x:c r="E22" s="13" t="s">
        <x:v>836</x:v>
      </x:c>
      <x:c r="F22" s="17" t="s">
        <x:v>5</x:v>
      </x:c>
    </x:row>
    <x:row r="23" ht="99" customHeight="1">
      <x:c r="A23" s="16" t="s">
        <x:v>837</x:v>
      </x:c>
      <x:c r="B23" s="13" t="s">
        <x:v>838</x:v>
      </x:c>
      <x:c r="C23" s="13" t="s">
        <x:v>834</x:v>
      </x:c>
      <x:c r="D23" s="13" t="s">
        <x:v>839</x:v>
      </x:c>
      <x:c r="E23" s="13" t="s">
        <x:v>840</x:v>
      </x:c>
      <x:c r="F23" s="17" t="s">
        <x:v>5</x:v>
      </x:c>
    </x:row>
    <x:row r="24" ht="53.25" customHeight="1">
      <x:c r="A24" s="16" t="s">
        <x:v>841</x:v>
      </x:c>
      <x:c r="B24" s="13" t="s">
        <x:v>833</x:v>
      </x:c>
      <x:c r="C24" s="13" t="s">
        <x:v>820</x:v>
      </x:c>
      <x:c r="D24" s="13" t="s">
        <x:v>842</x:v>
      </x:c>
      <x:c r="E24" s="13" t="s">
        <x:v>843</x:v>
      </x:c>
      <x:c r="F24" s="17" t="s">
        <x:v>5</x:v>
      </x:c>
    </x:row>
    <x:row r="25" ht="69.75">
      <x:c r="A25" s="16" t="s">
        <x:v>844</x:v>
      </x:c>
      <x:c r="B25" s="13" t="s">
        <x:v>833</x:v>
      </x:c>
      <x:c r="C25" s="13" t="s">
        <x:v>845</x:v>
      </x:c>
      <x:c r="D25" s="13" t="s">
        <x:v>846</x:v>
      </x:c>
      <x:c r="E25" s="13" t="s">
        <x:v>847</x:v>
      </x:c>
      <x:c r="F25" s="17" t="s">
        <x:v>5</x:v>
      </x:c>
    </x:row>
    <x:row r="26" ht="46.5">
      <x:c r="A26" s="16" t="s">
        <x:v>848</x:v>
      </x:c>
      <x:c r="B26" s="13" t="s">
        <x:v>838</x:v>
      </x:c>
      <x:c r="C26" s="13" t="s">
        <x:v>822</x:v>
      </x:c>
      <x:c r="D26" s="13" t="s">
        <x:v>849</x:v>
      </x:c>
      <x:c r="E26" s="13" t="s">
        <x:v>822</x:v>
      </x:c>
      <x:c r="F26" s="17" t="s">
        <x:v>5</x:v>
      </x:c>
    </x:row>
    <x:row r="27" ht="55.5" customHeight="1">
      <x:c r="A27" s="16" t="s">
        <x:v>850</x:v>
      </x:c>
      <x:c r="B27" s="13" t="s">
        <x:v>833</x:v>
      </x:c>
      <x:c r="C27" s="13" t="s">
        <x:v>851</x:v>
      </x:c>
      <x:c r="D27" s="13" t="s">
        <x:v>852</x:v>
      </x:c>
      <x:c r="E27" s="13" t="s">
        <x:v>853</x:v>
      </x:c>
      <x:c r="F27" s="17" t="s">
        <x:v>5</x:v>
      </x:c>
    </x:row>
    <x:row r="28" ht="93">
      <x:c r="A28" s="16" t="s">
        <x:v>854</x:v>
      </x:c>
      <x:c r="B28" s="13" t="s">
        <x:v>855</x:v>
      </x:c>
      <x:c r="C28" s="13" t="s">
        <x:v>179</x:v>
      </x:c>
      <x:c r="D28" s="13" t="s">
        <x:v>856</x:v>
      </x:c>
      <x:c r="E28" s="13" t="s">
        <x:v>179</x:v>
      </x:c>
      <x:c r="F28" s="17" t="s">
        <x:v>5</x:v>
      </x:c>
    </x:row>
    <x:row r="29" ht="93">
      <x:c r="A29" s="16" t="s">
        <x:v>857</x:v>
      </x:c>
      <x:c r="B29" s="13" t="s">
        <x:v>858</x:v>
      </x:c>
      <x:c r="C29" s="13" t="s">
        <x:v>859</x:v>
      </x:c>
      <x:c r="D29" s="13" t="s">
        <x:v>860</x:v>
      </x:c>
      <x:c r="E29" s="13" t="s">
        <x:v>861</x:v>
      </x:c>
      <x:c r="F29" s="17" t="s">
        <x:v>5</x:v>
      </x:c>
    </x:row>
  </x:sheetData>
  <x:mergeCells>
    <x:mergeCell ref="B10:C10"/>
    <x:mergeCell ref="A1:I1"/>
    <x:mergeCell ref="E2:F2"/>
    <x:mergeCell ref="B3:C3"/>
    <x:mergeCell ref="F3:I3"/>
    <x:mergeCell ref="B4:C4"/>
    <x:mergeCell ref="F4:I4"/>
    <x:mergeCell ref="B5:C5"/>
    <x:mergeCell ref="B6:C6"/>
    <x:mergeCell ref="B7:C7"/>
    <x:mergeCell ref="B8:C8"/>
    <x:mergeCell ref="B9:C9"/>
    <x:mergeCell ref="A12:I12"/>
    <x:mergeCell ref="B14:D14"/>
    <x:mergeCell ref="B15:D15"/>
    <x:mergeCell ref="B16:D16"/>
    <x:mergeCell ref="B17:I17"/>
    <x:mergeCell ref="B18:I18"/>
    <x:mergeCell ref="A20:A21"/>
    <x:mergeCell ref="B20:C20"/>
    <x:mergeCell ref="D20:D21"/>
    <x:mergeCell ref="E20:E21"/>
    <x:mergeCell ref="F20:F21"/>
  </x:mergeCells>
  <x:conditionalFormatting sqref="F22:F29">
    <x:cfRule type="cellIs" dxfId="74" priority="1" operator="equal">
      <x:formula>"Pass"</x:formula>
    </x:cfRule>
    <x:cfRule type="cellIs" dxfId="73" priority="2" operator="equal">
      <x:formula>"Fail"</x:formula>
    </x:cfRule>
    <x:cfRule type="cellIs" dxfId="72" priority="3" operator="equal">
      <x:formula>"Block"</x:formula>
    </x:cfRule>
  </x:conditionalFormatting>
  <x:dataValidations count="1">
    <x:dataValidation type="list" allowBlank="1" sqref="F22:F29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ColWidth="7.625" defaultRowHeight="23.25"/>
  <x:cols>
    <x:col min="1" max="1" width="29.75" style="8" customWidth="1"/>
    <x:col min="2" max="5" width="14" style="8" customWidth="1"/>
    <x:col min="6" max="6" width="38.5" style="8" customWidth="1"/>
    <x:col min="7" max="7" width="37.125" style="8" customWidth="1"/>
    <x:col min="8" max="8" width="14.875" style="8" customWidth="1"/>
    <x:col min="9" max="9" width="14.625" style="8" customWidth="1"/>
    <x:col min="10" max="16384" width="7.625" style="8" customWidth="0"/>
  </x:cols>
  <x:sheetData>
    <x:row r="1">
      <x:c r="A1" s="18" t="s">
        <x:v>104</x:v>
      </x:c>
      <x:c r="B1" s="19" t="s">
        <x:v>212</x:v>
      </x:c>
      <x:c r="C1" s="19" t="s">
        <x:v>213</x:v>
      </x:c>
      <x:c r="D1" s="19" t="s">
        <x:v>214</x:v>
      </x:c>
      <x:c r="E1" s="19" t="s">
        <x:v>215</x:v>
      </x:c>
      <x:c r="F1" s="19" t="s">
        <x:v>216</x:v>
      </x:c>
      <x:c r="G1" s="19" t="s">
        <x:v>217</x:v>
      </x:c>
      <x:c r="H1" s="19" t="s">
        <x:v>218</x:v>
      </x:c>
      <x:c r="I1" s="19" t="s">
        <x:v>219</x:v>
      </x:c>
    </x:row>
    <x:row r="2">
      <x:c r="A2" s="13" t="s">
        <x:v>862</x:v>
      </x:c>
      <x:c r="B2" s="17" t="s">
        <x:v>221</x:v>
      </x:c>
      <x:c r="C2" s="17" t="s">
        <x:v>222</x:v>
      </x:c>
      <x:c r="D2" s="17" t="s">
        <x:v>222</x:v>
      </x:c>
      <x:c r="E2" s="17" t="s">
        <x:v>222</x:v>
      </x:c>
      <x:c r="F2" s="17" t="s">
        <x:v>222</x:v>
      </x:c>
      <x:c r="G2" s="17" t="s">
        <x:v>222</x:v>
      </x:c>
      <x:c r="H2" s="17" t="s">
        <x:v>222</x:v>
      </x:c>
      <x:c r="I2" s="17" t="s">
        <x:v>222</x:v>
      </x:c>
    </x:row>
    <x:row r="3" ht="46.5">
      <x:c r="A3" s="13" t="s">
        <x:v>863</x:v>
      </x:c>
      <x:c r="B3" s="17" t="s">
        <x:v>171</x:v>
      </x:c>
      <x:c r="C3" s="17" t="s">
        <x:v>221</x:v>
      </x:c>
      <x:c r="D3" s="17" t="s">
        <x:v>222</x:v>
      </x:c>
      <x:c r="E3" s="17" t="s">
        <x:v>222</x:v>
      </x:c>
      <x:c r="F3" s="17" t="s">
        <x:v>222</x:v>
      </x:c>
      <x:c r="G3" s="17" t="s">
        <x:v>222</x:v>
      </x:c>
      <x:c r="H3" s="17" t="s">
        <x:v>222</x:v>
      </x:c>
      <x:c r="I3" s="17" t="s">
        <x:v>222</x:v>
      </x:c>
    </x:row>
    <x:row r="4">
      <x:c r="A4" s="13" t="s">
        <x:v>864</x:v>
      </x:c>
      <x:c r="B4" s="17" t="s">
        <x:v>171</x:v>
      </x:c>
      <x:c r="C4" s="17" t="s">
        <x:v>171</x:v>
      </x:c>
      <x:c r="D4" s="17" t="s">
        <x:v>222</x:v>
      </x:c>
      <x:c r="E4" s="17" t="s">
        <x:v>221</x:v>
      </x:c>
      <x:c r="F4" s="17" t="s">
        <x:v>221</x:v>
      </x:c>
      <x:c r="G4" s="17" t="s">
        <x:v>221</x:v>
      </x:c>
      <x:c r="H4" s="17" t="s">
        <x:v>221</x:v>
      </x:c>
      <x:c r="I4" s="17" t="s">
        <x:v>221</x:v>
      </x:c>
    </x:row>
    <x:row r="5" ht="46.5">
      <x:c r="A5" s="13" t="s">
        <x:v>865</x:v>
      </x:c>
      <x:c r="B5" s="17" t="s">
        <x:v>171</x:v>
      </x:c>
      <x:c r="C5" s="17" t="s">
        <x:v>171</x:v>
      </x:c>
      <x:c r="D5" s="17" t="s">
        <x:v>171</x:v>
      </x:c>
      <x:c r="E5" s="17" t="s">
        <x:v>221</x:v>
      </x:c>
      <x:c r="F5" s="17" t="s">
        <x:v>222</x:v>
      </x:c>
      <x:c r="G5" s="17" t="s">
        <x:v>222</x:v>
      </x:c>
      <x:c r="H5" s="17" t="s">
        <x:v>222</x:v>
      </x:c>
      <x:c r="I5" s="17" t="s">
        <x:v>222</x:v>
      </x:c>
    </x:row>
    <x:row r="6">
      <x:c r="A6" s="13" t="s">
        <x:v>866</x:v>
      </x:c>
      <x:c r="B6" s="17" t="s">
        <x:v>171</x:v>
      </x:c>
      <x:c r="C6" s="17" t="s">
        <x:v>171</x:v>
      </x:c>
      <x:c r="D6" s="17" t="s">
        <x:v>171</x:v>
      </x:c>
      <x:c r="E6" s="17" t="s">
        <x:v>171</x:v>
      </x:c>
      <x:c r="F6" s="17" t="s">
        <x:v>222</x:v>
      </x:c>
      <x:c r="G6" s="17" t="s">
        <x:v>221</x:v>
      </x:c>
      <x:c r="H6" s="17" t="s">
        <x:v>221</x:v>
      </x:c>
      <x:c r="I6" s="17" t="s">
        <x:v>221</x:v>
      </x:c>
    </x:row>
    <x:row r="7" ht="46.5">
      <x:c r="A7" s="13" t="s">
        <x:v>867</x:v>
      </x:c>
      <x:c r="B7" s="17" t="s">
        <x:v>171</x:v>
      </x:c>
      <x:c r="C7" s="17" t="s">
        <x:v>171</x:v>
      </x:c>
      <x:c r="D7" s="17" t="s">
        <x:v>171</x:v>
      </x:c>
      <x:c r="E7" s="17" t="s">
        <x:v>171</x:v>
      </x:c>
      <x:c r="F7" s="17" t="s">
        <x:v>171</x:v>
      </x:c>
      <x:c r="G7" s="17" t="s">
        <x:v>222</x:v>
      </x:c>
      <x:c r="H7" s="17" t="s">
        <x:v>221</x:v>
      </x:c>
      <x:c r="I7" s="17" t="s">
        <x:v>221</x:v>
      </x:c>
    </x:row>
    <x:row r="8" ht="46.5">
      <x:c r="A8" s="13" t="s">
        <x:v>868</x:v>
      </x:c>
      <x:c r="B8" s="17" t="s">
        <x:v>171</x:v>
      </x:c>
      <x:c r="C8" s="17" t="s">
        <x:v>171</x:v>
      </x:c>
      <x:c r="D8" s="17" t="s">
        <x:v>171</x:v>
      </x:c>
      <x:c r="E8" s="17" t="s">
        <x:v>171</x:v>
      </x:c>
      <x:c r="F8" s="17" t="s">
        <x:v>171</x:v>
      </x:c>
      <x:c r="G8" s="17" t="s">
        <x:v>171</x:v>
      </x:c>
      <x:c r="H8" s="17" t="s">
        <x:v>222</x:v>
      </x:c>
      <x:c r="I8" s="17" t="s">
        <x:v>221</x:v>
      </x:c>
    </x:row>
    <x:row r="9">
      <x:c r="A9" s="18" t="s">
        <x:v>229</x:v>
      </x:c>
      <x:c r="B9" s="20"/>
      <x:c r="C9" s="20"/>
      <x:c r="D9" s="20"/>
      <x:c r="E9" s="20"/>
      <x:c r="F9" s="20"/>
      <x:c r="G9" s="20"/>
      <x:c r="H9" s="20"/>
      <x:c r="I9" s="20"/>
    </x:row>
    <x:row r="10" ht="46.5">
      <x:c r="A10" s="13" t="s">
        <x:v>869</x:v>
      </x:c>
      <x:c r="B10" s="17" t="s">
        <x:v>231</x:v>
      </x:c>
      <x:c r="C10" s="17"/>
      <x:c r="D10" s="17"/>
      <x:c r="E10" s="17"/>
      <x:c r="F10" s="17"/>
      <x:c r="G10" s="17"/>
      <x:c r="H10" s="17"/>
      <x:c r="I10" s="17"/>
    </x:row>
    <x:row r="11" ht="46.5">
      <x:c r="A11" s="13" t="s">
        <x:v>870</x:v>
      </x:c>
      <x:c r="B11" s="17"/>
      <x:c r="C11" s="17" t="s">
        <x:v>231</x:v>
      </x:c>
      <x:c r="D11" s="17"/>
      <x:c r="E11" s="17"/>
      <x:c r="F11" s="17"/>
      <x:c r="G11" s="17"/>
      <x:c r="H11" s="17"/>
      <x:c r="I11" s="17"/>
    </x:row>
    <x:row r="12">
      <x:c r="A12" s="13" t="s">
        <x:v>871</x:v>
      </x:c>
      <x:c r="B12" s="17"/>
      <x:c r="C12" s="17"/>
      <x:c r="D12" s="17" t="s">
        <x:v>231</x:v>
      </x:c>
      <x:c r="E12" s="17"/>
      <x:c r="F12" s="17"/>
      <x:c r="G12" s="17"/>
      <x:c r="H12" s="17"/>
      <x:c r="I12" s="17"/>
    </x:row>
    <x:row r="13">
      <x:c r="A13" s="13" t="s">
        <x:v>872</x:v>
      </x:c>
      <x:c r="B13" s="17"/>
      <x:c r="C13" s="17"/>
      <x:c r="D13" s="17"/>
      <x:c r="E13" s="17" t="s">
        <x:v>231</x:v>
      </x:c>
      <x:c r="F13" s="17"/>
      <x:c r="G13" s="17"/>
      <x:c r="H13" s="17"/>
      <x:c r="I13" s="17"/>
    </x:row>
    <x:row r="14" ht="46.5">
      <x:c r="A14" s="13" t="s">
        <x:v>873</x:v>
      </x:c>
      <x:c r="B14" s="17"/>
      <x:c r="C14" s="17"/>
      <x:c r="D14" s="17"/>
      <x:c r="E14" s="17"/>
      <x:c r="F14" s="17" t="s">
        <x:v>231</x:v>
      </x:c>
      <x:c r="G14" s="17"/>
      <x:c r="H14" s="17"/>
      <x:c r="I14" s="17"/>
    </x:row>
    <x:row r="15" ht="46.5">
      <x:c r="A15" s="13" t="s">
        <x:v>874</x:v>
      </x:c>
      <x:c r="B15" s="17"/>
      <x:c r="C15" s="17"/>
      <x:c r="D15" s="17"/>
      <x:c r="E15" s="17"/>
      <x:c r="F15" s="17"/>
      <x:c r="G15" s="17" t="s">
        <x:v>231</x:v>
      </x:c>
      <x:c r="H15" s="17"/>
      <x:c r="I15" s="17"/>
    </x:row>
    <x:row r="16" ht="46.5">
      <x:c r="A16" s="13" t="s">
        <x:v>875</x:v>
      </x:c>
      <x:c r="B16" s="17"/>
      <x:c r="C16" s="17"/>
      <x:c r="D16" s="17"/>
      <x:c r="E16" s="17"/>
      <x:c r="F16" s="17"/>
      <x:c r="G16" s="17"/>
      <x:c r="H16" s="17" t="s">
        <x:v>231</x:v>
      </x:c>
      <x:c r="I16" s="17" t="s">
        <x:v>231</x:v>
      </x:c>
    </x:row>
    <x:row r="17">
      <x:c r="A17" s="13" t="s">
        <x:v>237</x:v>
      </x:c>
      <x:c r="B17" s="17"/>
      <x:c r="C17" s="17"/>
      <x:c r="D17" s="17"/>
      <x:c r="E17" s="17"/>
      <x:c r="F17" s="17"/>
      <x:c r="G17" s="17"/>
      <x:c r="H17" s="17"/>
      <x:c r="I17" s="17"/>
    </x:row>
    <x:row r="19">
      <x:c r="A19" s="30" t="s">
        <x:v>143</x:v>
      </x:c>
      <x:c r="B19" s="30"/>
      <x:c r="C19" s="30"/>
      <x:c r="D19" s="30"/>
      <x:c r="E19" s="30"/>
      <x:c r="F19" s="30"/>
      <x:c r="G19" s="30"/>
      <x:c r="H19" s="30"/>
      <x:c r="I19" s="30"/>
    </x:row>
    <x:row r="21">
      <x:c r="A21" s="12" t="s">
        <x:v>144</x:v>
      </x:c>
      <x:c r="B21" s="28" t="s">
        <x:v>876</x:v>
      </x:c>
      <x:c r="C21" s="28"/>
      <x:c r="D21" s="28"/>
      <x:c r="E21" s="28"/>
      <x:c r="F21" s="28"/>
      <x:c r="G21" s="21"/>
      <x:c r="H21" s="12" t="s">
        <x:v>146</x:v>
      </x:c>
      <x:c r="I21" s="14" t="s">
        <x:v>147</x:v>
      </x:c>
    </x:row>
    <x:row r="22">
      <x:c r="A22" s="12" t="s">
        <x:v>148</x:v>
      </x:c>
      <x:c r="B22" s="28" t="s">
        <x:v>240</x:v>
      </x:c>
      <x:c r="C22" s="28"/>
      <x:c r="D22" s="28"/>
      <x:c r="E22" s="28"/>
      <x:c r="F22" s="28"/>
      <x:c r="G22" s="21"/>
      <x:c r="H22" s="12" t="s">
        <x:v>150</x:v>
      </x:c>
      <x:c r="I22" s="14" t="s">
        <x:v>78</x:v>
      </x:c>
    </x:row>
    <x:row r="23">
      <x:c r="A23" s="12" t="s">
        <x:v>151</x:v>
      </x:c>
      <x:c r="B23" s="28" t="s">
        <x:v>152</x:v>
      </x:c>
      <x:c r="C23" s="28"/>
      <x:c r="D23" s="28"/>
      <x:c r="E23" s="28"/>
      <x:c r="F23" s="28"/>
      <x:c r="G23" s="21"/>
      <x:c r="H23" s="12" t="s">
        <x:v>153</x:v>
      </x:c>
      <x:c r="I23" s="13" t="s">
        <x:v>77</x:v>
      </x:c>
    </x:row>
    <x:row r="24">
      <x:c r="A24" s="12" t="s">
        <x:v>154</x:v>
      </x:c>
      <x:c r="B24" s="28" t="s">
        <x:v>877</x:v>
      </x:c>
      <x:c r="C24" s="28"/>
      <x:c r="D24" s="28"/>
      <x:c r="E24" s="28"/>
      <x:c r="F24" s="28"/>
      <x:c r="G24" s="28"/>
      <x:c r="H24" s="28"/>
      <x:c r="I24" s="28"/>
    </x:row>
    <x:row r="25">
      <x:c r="A25" s="12" t="s">
        <x:v>156</x:v>
      </x:c>
      <x:c r="B25" s="28" t="s">
        <x:v>878</x:v>
      </x:c>
      <x:c r="C25" s="28"/>
      <x:c r="D25" s="28"/>
      <x:c r="E25" s="28"/>
      <x:c r="F25" s="28"/>
      <x:c r="G25" s="28"/>
      <x:c r="H25" s="28"/>
      <x:c r="I25" s="28"/>
    </x:row>
    <x:row r="27">
      <x:c r="A27" s="29" t="s">
        <x:v>243</x:v>
      </x:c>
      <x:c r="B27" s="29" t="s">
        <x:v>158</x:v>
      </x:c>
      <x:c r="C27" s="29" t="s">
        <x:v>159</x:v>
      </x:c>
      <x:c r="D27" s="29"/>
      <x:c r="E27" s="29"/>
      <x:c r="F27" s="29" t="s">
        <x:v>160</x:v>
      </x:c>
      <x:c r="G27" s="29" t="s">
        <x:v>161</x:v>
      </x:c>
      <x:c r="H27" s="29" t="s">
        <x:v>162</x:v>
      </x:c>
    </x:row>
    <x:row r="28" ht="46.5">
      <x:c r="A28" s="29"/>
      <x:c r="B28" s="29"/>
      <x:c r="C28" s="15" t="s">
        <x:v>454</x:v>
      </x:c>
      <x:c r="D28" s="15" t="s">
        <x:v>879</x:v>
      </x:c>
      <x:c r="E28" s="15" t="s">
        <x:v>245</x:v>
      </x:c>
      <x:c r="F28" s="29"/>
      <x:c r="G28" s="29"/>
      <x:c r="H28" s="29"/>
    </x:row>
    <x:row r="29" ht="46.5">
      <x:c r="A29" s="17" t="s">
        <x:v>246</x:v>
      </x:c>
      <x:c r="B29" s="16" t="s">
        <x:v>880</x:v>
      </x:c>
      <x:c r="C29" s="13" t="s">
        <x:v>179</x:v>
      </x:c>
      <x:c r="D29" s="13" t="s">
        <x:v>881</x:v>
      </x:c>
      <x:c r="E29" s="13" t="s">
        <x:v>171</x:v>
      </x:c>
      <x:c r="F29" s="13" t="s">
        <x:v>882</x:v>
      </x:c>
      <x:c r="G29" s="13" t="s">
        <x:v>188</x:v>
      </x:c>
      <x:c r="H29" s="17" t="s">
        <x:v>5</x:v>
      </x:c>
    </x:row>
    <x:row r="30" ht="46.5">
      <x:c r="A30" s="17" t="s">
        <x:v>252</x:v>
      </x:c>
      <x:c r="B30" s="16" t="s">
        <x:v>883</x:v>
      </x:c>
      <x:c r="C30" s="13" t="s">
        <x:v>458</x:v>
      </x:c>
      <x:c r="D30" s="13" t="s">
        <x:v>179</x:v>
      </x:c>
      <x:c r="E30" s="13" t="s">
        <x:v>171</x:v>
      </x:c>
      <x:c r="F30" s="13" t="s">
        <x:v>884</x:v>
      </x:c>
      <x:c r="G30" s="13" t="s">
        <x:v>188</x:v>
      </x:c>
      <x:c r="H30" s="17" t="s">
        <x:v>5</x:v>
      </x:c>
    </x:row>
    <x:row r="31">
      <x:c r="A31" s="17" t="s">
        <x:v>256</x:v>
      </x:c>
      <x:c r="B31" s="16" t="s">
        <x:v>885</x:v>
      </x:c>
      <x:c r="C31" s="13" t="s">
        <x:v>190</x:v>
      </x:c>
      <x:c r="D31" s="13" t="s">
        <x:v>881</x:v>
      </x:c>
      <x:c r="E31" s="13" t="s">
        <x:v>886</x:v>
      </x:c>
      <x:c r="F31" s="13" t="s">
        <x:v>185</x:v>
      </x:c>
      <x:c r="G31" s="13" t="s">
        <x:v>887</x:v>
      </x:c>
      <x:c r="H31" s="17" t="s">
        <x:v>5</x:v>
      </x:c>
    </x:row>
    <x:row r="32" ht="69.75">
      <x:c r="A32" s="17" t="s">
        <x:v>260</x:v>
      </x:c>
      <x:c r="B32" s="16" t="s">
        <x:v>888</x:v>
      </x:c>
      <x:c r="C32" s="13" t="s">
        <x:v>458</x:v>
      </x:c>
      <x:c r="D32" s="13" t="s">
        <x:v>889</x:v>
      </x:c>
      <x:c r="E32" s="13" t="s">
        <x:v>890</x:v>
      </x:c>
      <x:c r="F32" s="13" t="s">
        <x:v>891</x:v>
      </x:c>
      <x:c r="G32" s="13" t="s">
        <x:v>249</x:v>
      </x:c>
      <x:c r="H32" s="17" t="s">
        <x:v>5</x:v>
      </x:c>
    </x:row>
    <x:row r="33" ht="46.5">
      <x:c r="A33" s="17" t="s">
        <x:v>268</x:v>
      </x:c>
      <x:c r="B33" s="16" t="s">
        <x:v>892</x:v>
      </x:c>
      <x:c r="C33" s="13" t="s">
        <x:v>458</x:v>
      </x:c>
      <x:c r="D33" s="13" t="s">
        <x:v>881</x:v>
      </x:c>
      <x:c r="E33" s="13" t="s">
        <x:v>893</x:v>
      </x:c>
      <x:c r="F33" s="13" t="s">
        <x:v>894</x:v>
      </x:c>
      <x:c r="G33" s="13" t="s">
        <x:v>188</x:v>
      </x:c>
      <x:c r="H33" s="17" t="s">
        <x:v>5</x:v>
      </x:c>
    </x:row>
    <x:row r="34" ht="69.75">
      <x:c r="A34" s="17" t="s">
        <x:v>273</x:v>
      </x:c>
      <x:c r="B34" s="16" t="s">
        <x:v>895</x:v>
      </x:c>
      <x:c r="C34" s="13" t="s">
        <x:v>458</x:v>
      </x:c>
      <x:c r="D34" s="13" t="s">
        <x:v>896</x:v>
      </x:c>
      <x:c r="E34" s="13" t="s">
        <x:v>897</x:v>
      </x:c>
      <x:c r="F34" s="13" t="s">
        <x:v>898</x:v>
      </x:c>
      <x:c r="G34" s="13" t="s">
        <x:v>899</x:v>
      </x:c>
      <x:c r="H34" s="17" t="s">
        <x:v>5</x:v>
      </x:c>
    </x:row>
    <x:row r="35" ht="93">
      <x:c r="A35" s="17" t="s">
        <x:v>278</x:v>
      </x:c>
      <x:c r="B35" s="16" t="s">
        <x:v>900</x:v>
      </x:c>
      <x:c r="C35" s="13" t="s">
        <x:v>458</x:v>
      </x:c>
      <x:c r="D35" s="13" t="s">
        <x:v>881</x:v>
      </x:c>
      <x:c r="E35" s="13" t="s">
        <x:v>901</x:v>
      </x:c>
      <x:c r="F35" s="13" t="s">
        <x:v>902</x:v>
      </x:c>
      <x:c r="G35" s="13" t="s">
        <x:v>903</x:v>
      </x:c>
      <x:c r="H35" s="17" t="s">
        <x:v>5</x:v>
      </x:c>
    </x:row>
    <x:row r="36" ht="69.75">
      <x:c r="A36" s="17" t="s">
        <x:v>282</x:v>
      </x:c>
      <x:c r="B36" s="16" t="s">
        <x:v>904</x:v>
      </x:c>
      <x:c r="C36" s="13" t="s">
        <x:v>458</x:v>
      </x:c>
      <x:c r="D36" s="13" t="s">
        <x:v>881</x:v>
      </x:c>
      <x:c r="E36" s="13" t="s">
        <x:v>905</x:v>
      </x:c>
      <x:c r="F36" s="13" t="s">
        <x:v>906</x:v>
      </x:c>
      <x:c r="G36" s="13" t="s">
        <x:v>907</x:v>
      </x:c>
      <x:c r="H36" s="17" t="s">
        <x:v>5</x:v>
      </x:c>
    </x:row>
  </x:sheetData>
  <x:mergeCells>
    <x:mergeCell ref="A19:I19"/>
    <x:mergeCell ref="B21:F21"/>
    <x:mergeCell ref="B22:F22"/>
    <x:mergeCell ref="B23:F23"/>
    <x:mergeCell ref="B24:I24"/>
    <x:mergeCell ref="B25:I25"/>
    <x:mergeCell ref="A27:A28"/>
    <x:mergeCell ref="B27:B28"/>
    <x:mergeCell ref="C27:E27"/>
    <x:mergeCell ref="F27:F28"/>
    <x:mergeCell ref="G27:G28"/>
    <x:mergeCell ref="H27:H28"/>
  </x:mergeCells>
  <x:conditionalFormatting sqref="H29:H36">
    <x:cfRule type="cellIs" dxfId="71" priority="1" operator="equal">
      <x:formula>"Pass"</x:formula>
    </x:cfRule>
    <x:cfRule type="cellIs" dxfId="70" priority="2" operator="equal">
      <x:formula>"Fail"</x:formula>
    </x:cfRule>
    <x:cfRule type="cellIs" dxfId="69" priority="3" operator="equal">
      <x:formula>"Block"</x:formula>
    </x:cfRule>
  </x:conditionalFormatting>
  <x:dataValidations count="1">
    <x:dataValidation type="list" allowBlank="1" sqref="H29:H36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4" width="13.125" style="8" customWidth="1"/>
    <x:col min="5" max="5" width="43.75" style="8" customWidth="1"/>
    <x:col min="6" max="6" width="33.375" style="8" customWidth="1"/>
    <x:col min="7" max="7" width="14.875" style="8" customWidth="1"/>
    <x:col min="8" max="8" width="12.25" style="8" customWidth="1"/>
    <x:col min="9" max="9" width="15.75" style="8" customWidth="1"/>
    <x:col min="10" max="16384" width="7.625" style="8" customWidth="0"/>
  </x:cols>
  <x:sheetData>
    <x:row r="1" ht="24">
      <x:c r="A1" s="32" t="s">
        <x:v>100</x:v>
      </x:c>
      <x:c r="B1" s="32"/>
      <x:c r="C1" s="32"/>
      <x:c r="D1" s="32"/>
      <x:c r="E1" s="32"/>
      <x:c r="F1" s="32"/>
      <x:c r="G1" s="32"/>
      <x:c r="H1" s="32"/>
      <x:c r="I1" s="32"/>
    </x:row>
    <x:row r="2" ht="24">
      <x:c r="A2" s="9" t="s">
        <x:v>101</x:v>
      </x:c>
      <x:c r="E2" s="33" t="s">
        <x:v>102</x:v>
      </x:c>
      <x:c r="F2" s="33"/>
    </x:row>
    <x:row r="3" ht="24">
      <x:c r="A3" s="10" t="s">
        <x:v>103</x:v>
      </x:c>
      <x:c r="B3" s="34" t="s">
        <x:v>104</x:v>
      </x:c>
      <x:c r="C3" s="34"/>
      <x:c r="E3" s="10" t="s">
        <x:v>103</x:v>
      </x:c>
      <x:c r="F3" s="34" t="s">
        <x:v>104</x:v>
      </x:c>
      <x:c r="G3" s="34"/>
      <x:c r="H3" s="34"/>
      <x:c r="I3" s="34"/>
    </x:row>
    <x:row r="4" ht="24">
      <x:c r="A4" s="11" t="s">
        <x:v>105</x:v>
      </x:c>
      <x:c r="B4" s="31" t="s">
        <x:v>908</x:v>
      </x:c>
      <x:c r="C4" s="31"/>
      <x:c r="E4" s="11" t="s">
        <x:v>107</x:v>
      </x:c>
      <x:c r="F4" s="31" t="s">
        <x:v>909</x:v>
      </x:c>
      <x:c r="G4" s="31"/>
      <x:c r="H4" s="31"/>
      <x:c r="I4" s="31"/>
    </x:row>
    <x:row r="5" ht="24">
      <x:c r="A5" s="11" t="s">
        <x:v>109</x:v>
      </x:c>
      <x:c r="B5" s="31" t="s">
        <x:v>910</x:v>
      </x:c>
      <x:c r="C5" s="31"/>
      <x:c r="E5" s="11" t="s">
        <x:v>111</x:v>
      </x:c>
      <x:c r="F5" s="31" t="s">
        <x:v>911</x:v>
      </x:c>
      <x:c r="G5" s="31"/>
      <x:c r="H5" s="31"/>
      <x:c r="I5" s="31"/>
    </x:row>
    <x:row r="6" ht="24">
      <x:c r="A6" s="11" t="s">
        <x:v>113</x:v>
      </x:c>
      <x:c r="B6" s="31" t="s">
        <x:v>912</x:v>
      </x:c>
      <x:c r="C6" s="31"/>
      <x:c r="E6" s="11" t="s">
        <x:v>115</x:v>
      </x:c>
      <x:c r="F6" s="31" t="s">
        <x:v>913</x:v>
      </x:c>
      <x:c r="G6" s="31"/>
      <x:c r="H6" s="31"/>
      <x:c r="I6" s="31"/>
    </x:row>
    <x:row r="7" ht="24">
      <x:c r="A7" s="11" t="s">
        <x:v>117</x:v>
      </x:c>
      <x:c r="B7" s="31" t="s">
        <x:v>914</x:v>
      </x:c>
      <x:c r="C7" s="31"/>
      <x:c r="E7" s="11" t="s">
        <x:v>119</x:v>
      </x:c>
      <x:c r="F7" s="31" t="s">
        <x:v>915</x:v>
      </x:c>
      <x:c r="G7" s="31"/>
      <x:c r="H7" s="31"/>
      <x:c r="I7" s="31"/>
    </x:row>
    <x:row r="8" ht="24">
      <x:c r="A8" s="11" t="s">
        <x:v>121</x:v>
      </x:c>
      <x:c r="B8" s="31" t="s">
        <x:v>916</x:v>
      </x:c>
      <x:c r="C8" s="31"/>
    </x:row>
    <x:row r="9" ht="24">
      <x:c r="A9" s="11" t="s">
        <x:v>125</x:v>
      </x:c>
      <x:c r="B9" s="31" t="s">
        <x:v>917</x:v>
      </x:c>
      <x:c r="C9" s="31"/>
    </x:row>
    <x:row r="10" ht="24">
      <x:c r="A10" s="11" t="s">
        <x:v>717</x:v>
      </x:c>
      <x:c r="B10" s="31" t="s">
        <x:v>918</x:v>
      </x:c>
      <x:c r="C10" s="31"/>
    </x:row>
    <x:row r="12">
      <x:c r="A12" s="30" t="s">
        <x:v>143</x:v>
      </x:c>
      <x:c r="B12" s="30"/>
      <x:c r="C12" s="30"/>
      <x:c r="D12" s="30"/>
      <x:c r="E12" s="30"/>
      <x:c r="F12" s="30"/>
      <x:c r="G12" s="30"/>
      <x:c r="H12" s="30"/>
      <x:c r="I12" s="30"/>
    </x:row>
    <x:row r="14" ht="27.75" customHeight="1">
      <x:c r="A14" s="12" t="s">
        <x:v>144</x:v>
      </x:c>
      <x:c r="B14" s="28" t="s">
        <x:v>919</x:v>
      </x:c>
      <x:c r="C14" s="28"/>
      <x:c r="D14" s="28"/>
      <x:c r="E14" s="28"/>
      <x:c r="F14" s="21"/>
      <x:c r="G14" s="21"/>
      <x:c r="H14" s="12" t="s">
        <x:v>146</x:v>
      </x:c>
      <x:c r="I14" s="14" t="s">
        <x:v>147</x:v>
      </x:c>
    </x:row>
    <x:row r="15" ht="26.25" customHeight="1">
      <x:c r="A15" s="12" t="s">
        <x:v>148</x:v>
      </x:c>
      <x:c r="B15" s="28" t="s">
        <x:v>149</x:v>
      </x:c>
      <x:c r="C15" s="28"/>
      <x:c r="D15" s="28"/>
      <x:c r="E15" s="28"/>
      <x:c r="F15" s="21"/>
      <x:c r="G15" s="21"/>
      <x:c r="H15" s="12" t="s">
        <x:v>150</x:v>
      </x:c>
      <x:c r="I15" s="14" t="s">
        <x:v>78</x:v>
      </x:c>
    </x:row>
    <x:row r="16" ht="46.5">
      <x:c r="A16" s="12" t="s">
        <x:v>151</x:v>
      </x:c>
      <x:c r="B16" s="28" t="s">
        <x:v>152</x:v>
      </x:c>
      <x:c r="C16" s="28"/>
      <x:c r="D16" s="28"/>
      <x:c r="E16" s="28"/>
      <x:c r="F16" s="21"/>
      <x:c r="G16" s="21"/>
      <x:c r="H16" s="12" t="s">
        <x:v>153</x:v>
      </x:c>
      <x:c r="I16" s="13" t="s">
        <x:v>77</x:v>
      </x:c>
    </x:row>
    <x:row r="17" ht="46.5">
      <x:c r="A17" s="12" t="s">
        <x:v>154</x:v>
      </x:c>
      <x:c r="B17" s="28" t="s">
        <x:v>920</x:v>
      </x:c>
      <x:c r="C17" s="28"/>
      <x:c r="D17" s="28"/>
      <x:c r="E17" s="28"/>
      <x:c r="F17" s="28"/>
      <x:c r="G17" s="28"/>
      <x:c r="H17" s="28"/>
      <x:c r="I17" s="28"/>
    </x:row>
    <x:row r="18" ht="46.5">
      <x:c r="A18" s="12" t="s">
        <x:v>156</x:v>
      </x:c>
      <x:c r="B18" s="28" t="s">
        <x:v>921</x:v>
      </x:c>
      <x:c r="C18" s="28"/>
      <x:c r="D18" s="28"/>
      <x:c r="E18" s="28"/>
      <x:c r="F18" s="28"/>
      <x:c r="G18" s="28"/>
      <x:c r="H18" s="28"/>
      <x:c r="I18" s="28"/>
    </x:row>
    <x:row r="20">
      <x:c r="A20" s="29" t="s">
        <x:v>158</x:v>
      </x:c>
      <x:c r="B20" s="29" t="s">
        <x:v>159</x:v>
      </x:c>
      <x:c r="C20" s="29"/>
      <x:c r="D20" s="29"/>
      <x:c r="E20" s="29" t="s">
        <x:v>160</x:v>
      </x:c>
      <x:c r="F20" s="29" t="s">
        <x:v>161</x:v>
      </x:c>
      <x:c r="G20" s="29" t="s">
        <x:v>162</x:v>
      </x:c>
    </x:row>
    <x:row r="21" ht="46.5">
      <x:c r="A21" s="29"/>
      <x:c r="B21" s="15" t="s">
        <x:v>922</x:v>
      </x:c>
      <x:c r="C21" s="15" t="s">
        <x:v>923</x:v>
      </x:c>
      <x:c r="D21" s="15" t="s">
        <x:v>924</x:v>
      </x:c>
      <x:c r="E21" s="29"/>
      <x:c r="F21" s="29"/>
      <x:c r="G21" s="29"/>
    </x:row>
    <x:row r="22" ht="52.5" customHeight="1">
      <x:c r="A22" s="16" t="s">
        <x:v>925</x:v>
      </x:c>
      <x:c r="B22" s="13" t="s">
        <x:v>549</x:v>
      </x:c>
      <x:c r="C22" s="13" t="s">
        <x:v>926</x:v>
      </x:c>
      <x:c r="D22" s="13" t="s">
        <x:v>179</x:v>
      </x:c>
      <x:c r="E22" s="13" t="s">
        <x:v>927</x:v>
      </x:c>
      <x:c r="F22" s="13" t="s">
        <x:v>928</x:v>
      </x:c>
      <x:c r="G22" s="17" t="s">
        <x:v>5</x:v>
      </x:c>
    </x:row>
    <x:row r="23">
      <x:c r="A23" s="16" t="s">
        <x:v>929</x:v>
      </x:c>
      <x:c r="B23" s="13" t="s">
        <x:v>549</x:v>
      </x:c>
      <x:c r="C23" s="13" t="s">
        <x:v>926</x:v>
      </x:c>
      <x:c r="D23" s="13" t="s">
        <x:v>930</x:v>
      </x:c>
      <x:c r="E23" s="13" t="s">
        <x:v>931</x:v>
      </x:c>
      <x:c r="F23" s="13" t="s">
        <x:v>932</x:v>
      </x:c>
      <x:c r="G23" s="17" t="s">
        <x:v>5</x:v>
      </x:c>
    </x:row>
    <x:row r="24" ht="46.5">
      <x:c r="A24" s="16" t="s">
        <x:v>933</x:v>
      </x:c>
      <x:c r="B24" s="13" t="s">
        <x:v>549</x:v>
      </x:c>
      <x:c r="C24" s="13" t="s">
        <x:v>926</x:v>
      </x:c>
      <x:c r="D24" s="13" t="s">
        <x:v>934</x:v>
      </x:c>
      <x:c r="E24" s="13" t="s">
        <x:v>935</x:v>
      </x:c>
      <x:c r="F24" s="13" t="s">
        <x:v>936</x:v>
      </x:c>
      <x:c r="G24" s="17" t="s">
        <x:v>5</x:v>
      </x:c>
    </x:row>
    <x:row r="25">
      <x:c r="A25" s="16" t="s">
        <x:v>937</x:v>
      </x:c>
      <x:c r="B25" s="13" t="s">
        <x:v>549</x:v>
      </x:c>
      <x:c r="C25" s="13" t="s">
        <x:v>926</x:v>
      </x:c>
      <x:c r="D25" s="13" t="s">
        <x:v>938</x:v>
      </x:c>
      <x:c r="E25" s="13" t="s">
        <x:v>939</x:v>
      </x:c>
      <x:c r="F25" s="13" t="s">
        <x:v>940</x:v>
      </x:c>
      <x:c r="G25" s="17" t="s">
        <x:v>5</x:v>
      </x:c>
    </x:row>
    <x:row r="26">
      <x:c r="A26" s="16" t="s">
        <x:v>941</x:v>
      </x:c>
      <x:c r="B26" s="13" t="s">
        <x:v>549</x:v>
      </x:c>
      <x:c r="C26" s="13" t="s">
        <x:v>926</x:v>
      </x:c>
      <x:c r="D26" s="13" t="s">
        <x:v>942</x:v>
      </x:c>
      <x:c r="E26" s="13" t="s">
        <x:v>943</x:v>
      </x:c>
      <x:c r="F26" s="13" t="s">
        <x:v>944</x:v>
      </x:c>
      <x:c r="G26" s="17" t="s">
        <x:v>5</x:v>
      </x:c>
    </x:row>
    <x:row r="27" ht="46.5">
      <x:c r="A27" s="16" t="s">
        <x:v>945</x:v>
      </x:c>
      <x:c r="B27" s="13" t="s">
        <x:v>549</x:v>
      </x:c>
      <x:c r="C27" s="13" t="s">
        <x:v>946</x:v>
      </x:c>
      <x:c r="D27" s="13" t="s">
        <x:v>934</x:v>
      </x:c>
      <x:c r="E27" s="13" t="s">
        <x:v>947</x:v>
      </x:c>
      <x:c r="F27" s="13" t="s">
        <x:v>948</x:v>
      </x:c>
      <x:c r="G27" s="17" t="s">
        <x:v>5</x:v>
      </x:c>
    </x:row>
    <x:row r="28" ht="52.5" customHeight="1">
      <x:c r="A28" s="16" t="s">
        <x:v>949</x:v>
      </x:c>
      <x:c r="B28" s="13" t="s">
        <x:v>548</x:v>
      </x:c>
      <x:c r="C28" s="13" t="s">
        <x:v>926</x:v>
      </x:c>
      <x:c r="D28" s="13" t="s">
        <x:v>179</x:v>
      </x:c>
      <x:c r="E28" s="13" t="s">
        <x:v>950</x:v>
      </x:c>
      <x:c r="F28" s="13" t="str">
        <x:v>UT14-TC007 passed: PENDING payment confirms booking and publishes event.</x:v>
      </x:c>
      <x:c r="G28" s="17" t="str">
        <x:v>Pass</x:v>
      </x:c>
    </x:row>
    <x:row r="29" ht="46.5">
      <x:c r="A29" s="16" t="s">
        <x:v>951</x:v>
      </x:c>
      <x:c r="B29" s="13" t="s">
        <x:v>551</x:v>
      </x:c>
      <x:c r="C29" s="13" t="s">
        <x:v>926</x:v>
      </x:c>
      <x:c r="D29" s="13" t="s">
        <x:v>179</x:v>
      </x:c>
      <x:c r="E29" s="13" t="s">
        <x:v>952</x:v>
      </x:c>
      <x:c r="F29" s="13" t="str">
        <x:v>UT14-TC008 passed: IN_SERVICE payment completes booking and publishes event.</x:v>
      </x:c>
      <x:c r="G29" s="17" t="str">
        <x:v>Pass</x:v>
      </x:c>
    </x:row>
    <x:row r="30">
      <x:c r="A30" s="16" t="s">
        <x:v>953</x:v>
      </x:c>
      <x:c r="B30" s="13" t="s">
        <x:v>550</x:v>
      </x:c>
      <x:c r="C30" s="13" t="s">
        <x:v>926</x:v>
      </x:c>
      <x:c r="D30" s="13" t="s">
        <x:v>179</x:v>
      </x:c>
      <x:c r="E30" s="13" t="s">
        <x:v>954</x:v>
      </x:c>
      <x:c r="F30" s="13" t="str">
        <x:v>UT14-TC009 passed: CHECKED_IN payment keeps booking status unchanged.</x:v>
      </x:c>
      <x:c r="G30" s="17" t="str">
        <x:v>Pass</x:v>
      </x:c>
    </x:row>
    <x:row r="31">
      <x:c r="A31" s="16" t="s">
        <x:v>955</x:v>
      </x:c>
      <x:c r="B31" s="13" t="s">
        <x:v>471</x:v>
      </x:c>
      <x:c r="C31" s="13" t="s">
        <x:v>926</x:v>
      </x:c>
      <x:c r="D31" s="13" t="s">
        <x:v>179</x:v>
      </x:c>
      <x:c r="E31" s="13" t="s">
        <x:v>956</x:v>
      </x:c>
      <x:c r="F31" s="13" t="str">
        <x:v>UT14-TC010 passed: CANCELLED booking payment is rejected.</x:v>
      </x:c>
      <x:c r="G31" s="17" t="str">
        <x:v>Pass</x:v>
      </x:c>
    </x:row>
    <x:row r="32">
      <x:c r="A32" s="16" t="s">
        <x:v>957</x:v>
      </x:c>
      <x:c r="B32" s="13" t="s">
        <x:v>552</x:v>
      </x:c>
      <x:c r="C32" s="13" t="s">
        <x:v>926</x:v>
      </x:c>
      <x:c r="D32" s="13" t="s">
        <x:v>179</x:v>
      </x:c>
      <x:c r="E32" s="13" t="s">
        <x:v>958</x:v>
      </x:c>
      <x:c r="F32" s="13" t="str">
        <x:v>UT14-TC011 passed: NO_SHOW booking payment is rejected.</x:v>
      </x:c>
      <x:c r="G32" s="17" t="str">
        <x:v>Pass</x:v>
      </x:c>
    </x:row>
  </x:sheetData>
  <x:mergeCells>
    <x:mergeCell ref="A1:I1"/>
    <x:mergeCell ref="E2:F2"/>
    <x:mergeCell ref="B3:C3"/>
    <x:mergeCell ref="F3:I3"/>
    <x:mergeCell ref="B4:C4"/>
    <x:mergeCell ref="F4:I4"/>
    <x:mergeCell ref="B15:E15"/>
    <x:mergeCell ref="B5:C5"/>
    <x:mergeCell ref="F5:I5"/>
    <x:mergeCell ref="B6:C6"/>
    <x:mergeCell ref="F6:I6"/>
    <x:mergeCell ref="B7:C7"/>
    <x:mergeCell ref="F7:I7"/>
    <x:mergeCell ref="B8:C8"/>
    <x:mergeCell ref="B9:C9"/>
    <x:mergeCell ref="B10:C10"/>
    <x:mergeCell ref="A12:I12"/>
    <x:mergeCell ref="B14:E14"/>
    <x:mergeCell ref="B16:E16"/>
    <x:mergeCell ref="B17:I17"/>
    <x:mergeCell ref="B18:I18"/>
    <x:mergeCell ref="A20:A21"/>
    <x:mergeCell ref="B20:D20"/>
    <x:mergeCell ref="E20:E21"/>
    <x:mergeCell ref="F20:F21"/>
    <x:mergeCell ref="G20:G21"/>
  </x:mergeCells>
  <x:conditionalFormatting sqref="G22:G32">
    <x:cfRule type="cellIs" dxfId="68" priority="1" operator="equal">
      <x:formula>"Pass"</x:formula>
    </x:cfRule>
    <x:cfRule type="cellIs" dxfId="67" priority="2" operator="equal">
      <x:formula>"Fail"</x:formula>
    </x:cfRule>
    <x:cfRule type="cellIs" dxfId="66" priority="3" operator="equal">
      <x:formula>"Block"</x:formula>
    </x:cfRule>
  </x:conditionalFormatting>
  <x:dataValidations count="1">
    <x:dataValidation type="list" allowBlank="1" sqref="G22:G32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3" width="21" style="8" customWidth="1"/>
    <x:col min="4" max="4" width="31.5" style="8" customWidth="1"/>
    <x:col min="5" max="5" width="15.75" style="8" customWidth="1"/>
    <x:col min="6" max="6" width="14.875" style="8" customWidth="1"/>
    <x:col min="7" max="8" width="7.625" style="8" customWidth="0"/>
    <x:col min="9" max="9" width="8.75" style="8" customWidth="1"/>
    <x:col min="10" max="11" width="17.5" style="8" customWidth="1"/>
    <x:col min="12" max="16384" width="7.625" style="8" customWidth="0"/>
  </x:cols>
  <x:sheetData>
    <x:row r="1" ht="69.75">
      <x:c r="A1" s="30" t="s">
        <x:v>143</x:v>
      </x:c>
      <x:c r="B1" s="30"/>
      <x:c r="C1" s="30"/>
      <x:c r="D1" s="30"/>
      <x:c r="E1" s="30"/>
      <x:c r="F1" s="30"/>
      <x:c r="I1" s="13"/>
      <x:c r="J1" s="15" t="s">
        <x:v>959</x:v>
      </x:c>
      <x:c r="K1" s="15" t="s">
        <x:v>960</x:v>
      </x:c>
    </x:row>
    <x:row r="2">
      <x:c r="I2" s="17" t="s">
        <x:v>289</x:v>
      </x:c>
      <x:c r="J2" s="17" t="s">
        <x:v>961</x:v>
      </x:c>
      <x:c r="K2" s="17" t="s">
        <x:v>962</x:v>
      </x:c>
    </x:row>
    <x:row r="3">
      <x:c r="A3" s="12" t="s">
        <x:v>144</x:v>
      </x:c>
      <x:c r="B3" s="28" t="s">
        <x:v>963</x:v>
      </x:c>
      <x:c r="C3" s="28"/>
      <x:c r="D3" s="28"/>
      <x:c r="E3" s="12" t="s">
        <x:v>146</x:v>
      </x:c>
      <x:c r="F3" s="14" t="s">
        <x:v>147</x:v>
      </x:c>
      <x:c r="I3" s="17" t="s">
        <x:v>293</x:v>
      </x:c>
      <x:c r="J3" s="17" t="s">
        <x:v>964</x:v>
      </x:c>
      <x:c r="K3" s="17" t="s">
        <x:v>965</x:v>
      </x:c>
    </x:row>
    <x:row r="4">
      <x:c r="A4" s="12" t="s">
        <x:v>148</x:v>
      </x:c>
      <x:c r="B4" s="28" t="s">
        <x:v>296</x:v>
      </x:c>
      <x:c r="C4" s="28"/>
      <x:c r="D4" s="28"/>
      <x:c r="E4" s="12" t="s">
        <x:v>150</x:v>
      </x:c>
      <x:c r="F4" s="14" t="s">
        <x:v>78</x:v>
      </x:c>
      <x:c r="I4" s="17" t="s">
        <x:v>297</x:v>
      </x:c>
      <x:c r="J4" s="17" t="s">
        <x:v>966</x:v>
      </x:c>
      <x:c r="K4" s="17" t="s">
        <x:v>967</x:v>
      </x:c>
    </x:row>
    <x:row r="5" ht="46.5">
      <x:c r="A5" s="12" t="s">
        <x:v>151</x:v>
      </x:c>
      <x:c r="B5" s="28" t="s">
        <x:v>152</x:v>
      </x:c>
      <x:c r="C5" s="28"/>
      <x:c r="D5" s="28"/>
      <x:c r="E5" s="12" t="s">
        <x:v>153</x:v>
      </x:c>
      <x:c r="F5" s="13" t="s">
        <x:v>77</x:v>
      </x:c>
      <x:c r="I5" s="17" t="s">
        <x:v>299</x:v>
      </x:c>
      <x:c r="J5" s="17" t="s">
        <x:v>926</x:v>
      </x:c>
      <x:c r="K5" s="17" t="s">
        <x:v>968</x:v>
      </x:c>
    </x:row>
    <x:row r="6" ht="46.5">
      <x:c r="A6" s="12" t="s">
        <x:v>154</x:v>
      </x:c>
      <x:c r="B6" s="28" t="s">
        <x:v>969</x:v>
      </x:c>
      <x:c r="C6" s="28"/>
      <x:c r="D6" s="28"/>
      <x:c r="E6" s="28"/>
      <x:c r="F6" s="28"/>
      <x:c r="I6" s="17" t="s">
        <x:v>303</x:v>
      </x:c>
      <x:c r="J6" s="17" t="s">
        <x:v>171</x:v>
      </x:c>
      <x:c r="K6" s="17" t="s">
        <x:v>970</x:v>
      </x:c>
    </x:row>
    <x:row r="7" ht="46.5">
      <x:c r="A7" s="12" t="s">
        <x:v>156</x:v>
      </x:c>
      <x:c r="B7" s="28" t="s">
        <x:v>971</x:v>
      </x:c>
      <x:c r="C7" s="28"/>
      <x:c r="D7" s="28"/>
      <x:c r="E7" s="28"/>
      <x:c r="F7" s="28"/>
      <x:c r="I7" s="17" t="s">
        <x:v>307</x:v>
      </x:c>
      <x:c r="J7" s="17" t="s">
        <x:v>171</x:v>
      </x:c>
      <x:c r="K7" s="17" t="s">
        <x:v>972</x:v>
      </x:c>
    </x:row>
    <x:row r="9">
      <x:c r="A9" s="29" t="s">
        <x:v>158</x:v>
      </x:c>
      <x:c r="B9" s="29" t="s">
        <x:v>159</x:v>
      </x:c>
      <x:c r="C9" s="29"/>
      <x:c r="D9" s="29" t="s">
        <x:v>160</x:v>
      </x:c>
      <x:c r="E9" s="29" t="s">
        <x:v>161</x:v>
      </x:c>
      <x:c r="F9" s="29" t="s">
        <x:v>162</x:v>
      </x:c>
    </x:row>
    <x:row r="10">
      <x:c r="A10" s="29"/>
      <x:c r="B10" s="15" t="s">
        <x:v>830</x:v>
      </x:c>
      <x:c r="C10" s="15" t="s">
        <x:v>973</x:v>
      </x:c>
      <x:c r="D10" s="29"/>
      <x:c r="E10" s="29"/>
      <x:c r="F10" s="29"/>
    </x:row>
    <x:row r="11">
      <x:c r="A11" s="16" t="s">
        <x:v>974</x:v>
      </x:c>
      <x:c r="B11" s="13" t="s">
        <x:v>975</x:v>
      </x:c>
      <x:c r="C11" s="13" t="s">
        <x:v>976</x:v>
      </x:c>
      <x:c r="D11" s="13" t="s">
        <x:v>977</x:v>
      </x:c>
      <x:c r="E11" s="13" t="s">
        <x:v>977</x:v>
      </x:c>
      <x:c r="F11" s="17" t="s">
        <x:v>5</x:v>
      </x:c>
    </x:row>
    <x:row r="12">
      <x:c r="A12" s="16" t="s">
        <x:v>978</x:v>
      </x:c>
      <x:c r="B12" s="13" t="s">
        <x:v>975</x:v>
      </x:c>
      <x:c r="C12" s="13" t="s">
        <x:v>979</x:v>
      </x:c>
      <x:c r="D12" s="13" t="s">
        <x:v>980</x:v>
      </x:c>
      <x:c r="E12" s="13" t="s">
        <x:v>980</x:v>
      </x:c>
      <x:c r="F12" s="17" t="s">
        <x:v>5</x:v>
      </x:c>
    </x:row>
    <x:row r="13">
      <x:c r="A13" s="16" t="s">
        <x:v>981</x:v>
      </x:c>
      <x:c r="B13" s="13" t="s">
        <x:v>975</x:v>
      </x:c>
      <x:c r="C13" s="13" t="s">
        <x:v>982</x:v>
      </x:c>
      <x:c r="D13" s="13" t="s">
        <x:v>980</x:v>
      </x:c>
      <x:c r="E13" s="13" t="s">
        <x:v>980</x:v>
      </x:c>
      <x:c r="F13" s="17" t="s">
        <x:v>5</x:v>
      </x:c>
    </x:row>
    <x:row r="14">
      <x:c r="A14" s="16" t="s">
        <x:v>983</x:v>
      </x:c>
      <x:c r="B14" s="13" t="s">
        <x:v>975</x:v>
      </x:c>
      <x:c r="C14" s="13" t="s">
        <x:v>984</x:v>
      </x:c>
      <x:c r="D14" s="13" t="s">
        <x:v>980</x:v>
      </x:c>
      <x:c r="E14" s="13" t="s">
        <x:v>980</x:v>
      </x:c>
      <x:c r="F14" s="17" t="s">
        <x:v>5</x:v>
      </x:c>
    </x:row>
    <x:row r="15" ht="46.5">
      <x:c r="A15" s="16" t="s">
        <x:v>985</x:v>
      </x:c>
      <x:c r="B15" s="13" t="s">
        <x:v>975</x:v>
      </x:c>
      <x:c r="C15" s="13" t="s">
        <x:v>986</x:v>
      </x:c>
      <x:c r="D15" s="13" t="s">
        <x:v>977</x:v>
      </x:c>
      <x:c r="E15" s="13" t="s">
        <x:v>977</x:v>
      </x:c>
      <x:c r="F15" s="17" t="s">
        <x:v>5</x:v>
      </x:c>
    </x:row>
    <x:row r="16">
      <x:c r="A16" s="16" t="s">
        <x:v>987</x:v>
      </x:c>
      <x:c r="B16" s="13" t="s">
        <x:v>988</x:v>
      </x:c>
      <x:c r="C16" s="13" t="s">
        <x:v>962</x:v>
      </x:c>
      <x:c r="D16" s="13" t="s">
        <x:v>368</x:v>
      </x:c>
      <x:c r="E16" s="13" t="s">
        <x:v>368</x:v>
      </x:c>
      <x:c r="F16" s="17" t="s">
        <x:v>5</x:v>
      </x:c>
    </x:row>
    <x:row r="17">
      <x:c r="A17" s="16" t="s">
        <x:v>989</x:v>
      </x:c>
      <x:c r="B17" s="13" t="s">
        <x:v>988</x:v>
      </x:c>
      <x:c r="C17" s="13" t="s">
        <x:v>965</x:v>
      </x:c>
      <x:c r="D17" s="13" t="s">
        <x:v>965</x:v>
      </x:c>
      <x:c r="E17" s="13" t="s">
        <x:v>965</x:v>
      </x:c>
      <x:c r="F17" s="17" t="s">
        <x:v>5</x:v>
      </x:c>
    </x:row>
    <x:row r="18">
      <x:c r="A18" s="16" t="s">
        <x:v>990</x:v>
      </x:c>
      <x:c r="B18" s="13" t="s">
        <x:v>988</x:v>
      </x:c>
      <x:c r="C18" s="13" t="s">
        <x:v>967</x:v>
      </x:c>
      <x:c r="D18" s="13" t="s">
        <x:v>967</x:v>
      </x:c>
      <x:c r="E18" s="13" t="s">
        <x:v>967</x:v>
      </x:c>
      <x:c r="F18" s="17" t="s">
        <x:v>5</x:v>
      </x:c>
    </x:row>
    <x:row r="19">
      <x:c r="A19" s="16" t="s">
        <x:v>991</x:v>
      </x:c>
      <x:c r="B19" s="13" t="s">
        <x:v>988</x:v>
      </x:c>
      <x:c r="C19" s="13" t="s">
        <x:v>968</x:v>
      </x:c>
      <x:c r="D19" s="13" t="s">
        <x:v>968</x:v>
      </x:c>
      <x:c r="E19" s="13" t="s">
        <x:v>968</x:v>
      </x:c>
      <x:c r="F19" s="17" t="s">
        <x:v>5</x:v>
      </x:c>
    </x:row>
    <x:row r="20">
      <x:c r="A20" s="16" t="s">
        <x:v>992</x:v>
      </x:c>
      <x:c r="B20" s="13" t="s">
        <x:v>988</x:v>
      </x:c>
      <x:c r="C20" s="13" t="s">
        <x:v>970</x:v>
      </x:c>
      <x:c r="D20" s="13" t="s">
        <x:v>970</x:v>
      </x:c>
      <x:c r="E20" s="13" t="s">
        <x:v>970</x:v>
      </x:c>
      <x:c r="F20" s="17" t="s">
        <x:v>5</x:v>
      </x:c>
    </x:row>
    <x:row r="21">
      <x:c r="A21" s="16" t="s">
        <x:v>993</x:v>
      </x:c>
      <x:c r="B21" s="13" t="s">
        <x:v>988</x:v>
      </x:c>
      <x:c r="C21" s="13" t="s">
        <x:v>994</x:v>
      </x:c>
      <x:c r="D21" s="13" t="s">
        <x:v>994</x:v>
      </x:c>
      <x:c r="E21" s="13" t="s">
        <x:v>994</x:v>
      </x:c>
      <x:c r="F21" s="17" t="s">
        <x:v>5</x:v>
      </x:c>
    </x:row>
    <x:row r="22">
      <x:c r="A22" s="16" t="s">
        <x:v>995</x:v>
      </x:c>
      <x:c r="B22" s="13" t="s">
        <x:v>988</x:v>
      </x:c>
      <x:c r="C22" s="13" t="s">
        <x:v>972</x:v>
      </x:c>
      <x:c r="D22" s="13" t="s">
        <x:v>994</x:v>
      </x:c>
      <x:c r="E22" s="13" t="s">
        <x:v>994</x:v>
      </x:c>
      <x:c r="F22" s="17" t="s">
        <x:v>5</x:v>
      </x:c>
    </x:row>
    <x:row r="23">
      <x:c r="A23" s="16" t="s">
        <x:v>996</x:v>
      </x:c>
      <x:c r="B23" s="13" t="s">
        <x:v>988</x:v>
      </x:c>
      <x:c r="C23" s="13" t="s">
        <x:v>997</x:v>
      </x:c>
      <x:c r="D23" s="13" t="s">
        <x:v>368</x:v>
      </x:c>
      <x:c r="E23" s="13" t="s">
        <x:v>368</x:v>
      </x:c>
      <x:c r="F23" s="17" t="s">
        <x:v>5</x:v>
      </x:c>
    </x:row>
    <x:row r="24">
      <x:c r="A24" s="16" t="s">
        <x:v>998</x:v>
      </x:c>
      <x:c r="B24" s="13" t="s">
        <x:v>999</x:v>
      </x:c>
      <x:c r="C24" s="13" t="s">
        <x:v>171</x:v>
      </x:c>
      <x:c r="D24" s="13" t="s">
        <x:v>1000</x:v>
      </x:c>
      <x:c r="E24" s="13" t="s">
        <x:v>1000</x:v>
      </x:c>
      <x:c r="F24" s="17" t="s">
        <x:v>5</x:v>
      </x:c>
    </x:row>
  </x:sheetData>
  <x:mergeCells>
    <x:mergeCell ref="A1:F1"/>
    <x:mergeCell ref="B3:D3"/>
    <x:mergeCell ref="B4:D4"/>
    <x:mergeCell ref="B5:D5"/>
    <x:mergeCell ref="B6:F6"/>
    <x:mergeCell ref="B7:F7"/>
    <x:mergeCell ref="A9:A10"/>
    <x:mergeCell ref="B9:C9"/>
    <x:mergeCell ref="D9:D10"/>
    <x:mergeCell ref="E9:E10"/>
    <x:mergeCell ref="F9:F10"/>
  </x:mergeCells>
  <x:conditionalFormatting sqref="F11:F24">
    <x:cfRule type="cellIs" dxfId="65" priority="1" operator="equal">
      <x:formula>"Pass"</x:formula>
    </x:cfRule>
    <x:cfRule type="cellIs" dxfId="64" priority="2" operator="equal">
      <x:formula>"Fail"</x:formula>
    </x:cfRule>
    <x:cfRule type="cellIs" dxfId="63" priority="3" operator="equal">
      <x:formula>"Block"</x:formula>
    </x:cfRule>
  </x:conditionalFormatting>
  <x:dataValidations count="1">
    <x:dataValidation type="list" allowBlank="1" sqref="F11:F24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ColWidth="7.625" defaultRowHeight="23.25"/>
  <x:cols>
    <x:col min="1" max="3" width="19.25" style="8" customWidth="1"/>
    <x:col min="4" max="4" width="31.5" style="8" customWidth="1"/>
    <x:col min="5" max="5" width="32.875" style="8" customWidth="1"/>
    <x:col min="6" max="6" width="14.875" style="8" customWidth="1"/>
    <x:col min="7" max="8" width="12.25" style="8" customWidth="1"/>
    <x:col min="9" max="9" width="15.125" style="8" customWidth="1"/>
    <x:col min="10" max="16384" width="7.625" style="8" customWidth="0"/>
  </x:cols>
  <x:sheetData>
    <x:row r="1" ht="24">
      <x:c r="A1" s="32" t="s">
        <x:v>100</x:v>
      </x:c>
      <x:c r="B1" s="32"/>
      <x:c r="C1" s="32"/>
      <x:c r="D1" s="32"/>
      <x:c r="E1" s="32"/>
      <x:c r="F1" s="32"/>
      <x:c r="G1" s="32"/>
      <x:c r="H1" s="32"/>
      <x:c r="I1" s="32"/>
    </x:row>
    <x:row r="2" ht="24">
      <x:c r="A2" s="9" t="s">
        <x:v>101</x:v>
      </x:c>
      <x:c r="E2" s="33" t="s">
        <x:v>102</x:v>
      </x:c>
      <x:c r="F2" s="33"/>
    </x:row>
    <x:row r="3" ht="24">
      <x:c r="A3" s="10" t="s">
        <x:v>103</x:v>
      </x:c>
      <x:c r="B3" s="34" t="s">
        <x:v>104</x:v>
      </x:c>
      <x:c r="C3" s="34"/>
      <x:c r="E3" s="10" t="s">
        <x:v>103</x:v>
      </x:c>
      <x:c r="F3" s="34" t="s">
        <x:v>104</x:v>
      </x:c>
      <x:c r="G3" s="34"/>
      <x:c r="H3" s="34"/>
      <x:c r="I3" s="34"/>
    </x:row>
    <x:row r="4" ht="24">
      <x:c r="A4" s="11" t="s">
        <x:v>105</x:v>
      </x:c>
      <x:c r="B4" s="31" t="s">
        <x:v>1001</x:v>
      </x:c>
      <x:c r="C4" s="31"/>
      <x:c r="E4" s="11" t="s">
        <x:v>107</x:v>
      </x:c>
      <x:c r="F4" s="31" t="s">
        <x:v>1002</x:v>
      </x:c>
      <x:c r="G4" s="31"/>
      <x:c r="H4" s="31"/>
      <x:c r="I4" s="31"/>
    </x:row>
    <x:row r="5" ht="24">
      <x:c r="A5" s="11" t="s">
        <x:v>109</x:v>
      </x:c>
      <x:c r="B5" s="31" t="s">
        <x:v>1003</x:v>
      </x:c>
      <x:c r="C5" s="31"/>
      <x:c r="E5" s="11" t="s">
        <x:v>111</x:v>
      </x:c>
      <x:c r="F5" s="31" t="s">
        <x:v>1004</x:v>
      </x:c>
      <x:c r="G5" s="31"/>
      <x:c r="H5" s="31"/>
      <x:c r="I5" s="31"/>
    </x:row>
    <x:row r="6" ht="24">
      <x:c r="A6" s="11" t="s">
        <x:v>113</x:v>
      </x:c>
      <x:c r="B6" s="31" t="s">
        <x:v>1005</x:v>
      </x:c>
      <x:c r="C6" s="31"/>
      <x:c r="E6" s="11" t="s">
        <x:v>115</x:v>
      </x:c>
      <x:c r="F6" s="31" t="s">
        <x:v>1006</x:v>
      </x:c>
      <x:c r="G6" s="31"/>
      <x:c r="H6" s="31"/>
      <x:c r="I6" s="31"/>
    </x:row>
    <x:row r="7" ht="24">
      <x:c r="A7" s="11" t="s">
        <x:v>117</x:v>
      </x:c>
      <x:c r="B7" s="31" t="s">
        <x:v>1007</x:v>
      </x:c>
      <x:c r="C7" s="31"/>
      <x:c r="E7" s="11" t="s">
        <x:v>119</x:v>
      </x:c>
      <x:c r="F7" s="31" t="s">
        <x:v>1008</x:v>
      </x:c>
      <x:c r="G7" s="31"/>
      <x:c r="H7" s="31"/>
      <x:c r="I7" s="31"/>
    </x:row>
    <x:row r="9">
      <x:c r="A9" s="30" t="s">
        <x:v>143</x:v>
      </x:c>
      <x:c r="B9" s="30"/>
      <x:c r="C9" s="30"/>
      <x:c r="D9" s="30"/>
      <x:c r="E9" s="30"/>
      <x:c r="F9" s="30"/>
      <x:c r="G9" s="30"/>
      <x:c r="H9" s="30"/>
      <x:c r="I9" s="30"/>
    </x:row>
    <x:row r="11">
      <x:c r="A11" s="12" t="s">
        <x:v>144</x:v>
      </x:c>
      <x:c r="B11" s="28" t="s">
        <x:v>1009</x:v>
      </x:c>
      <x:c r="C11" s="28"/>
      <x:c r="D11" s="28"/>
      <x:c r="E11" s="21"/>
      <x:c r="F11" s="21"/>
      <x:c r="G11" s="21"/>
      <x:c r="H11" s="12" t="s">
        <x:v>146</x:v>
      </x:c>
      <x:c r="I11" s="14" t="s">
        <x:v>147</x:v>
      </x:c>
    </x:row>
    <x:row r="12">
      <x:c r="A12" s="12" t="s">
        <x:v>148</x:v>
      </x:c>
      <x:c r="B12" s="28" t="s">
        <x:v>149</x:v>
      </x:c>
      <x:c r="C12" s="28"/>
      <x:c r="D12" s="28"/>
      <x:c r="E12" s="21"/>
      <x:c r="F12" s="21"/>
      <x:c r="G12" s="21"/>
      <x:c r="H12" s="12" t="s">
        <x:v>150</x:v>
      </x:c>
      <x:c r="I12" s="14" t="s">
        <x:v>78</x:v>
      </x:c>
    </x:row>
    <x:row r="13" ht="46.5">
      <x:c r="A13" s="12" t="s">
        <x:v>151</x:v>
      </x:c>
      <x:c r="B13" s="28" t="s">
        <x:v>152</x:v>
      </x:c>
      <x:c r="C13" s="28"/>
      <x:c r="D13" s="28"/>
      <x:c r="E13" s="21"/>
      <x:c r="F13" s="21"/>
      <x:c r="G13" s="21"/>
      <x:c r="H13" s="12" t="s">
        <x:v>153</x:v>
      </x:c>
      <x:c r="I13" s="13" t="s">
        <x:v>77</x:v>
      </x:c>
    </x:row>
    <x:row r="14" ht="46.5">
      <x:c r="A14" s="12" t="s">
        <x:v>154</x:v>
      </x:c>
      <x:c r="B14" s="28" t="s">
        <x:v>1010</x:v>
      </x:c>
      <x:c r="C14" s="28"/>
      <x:c r="D14" s="28"/>
      <x:c r="E14" s="28"/>
      <x:c r="F14" s="28"/>
      <x:c r="G14" s="28"/>
      <x:c r="H14" s="28"/>
      <x:c r="I14" s="28"/>
    </x:row>
    <x:row r="15" ht="46.5">
      <x:c r="A15" s="12" t="s">
        <x:v>156</x:v>
      </x:c>
      <x:c r="B15" s="28" t="s">
        <x:v>1011</x:v>
      </x:c>
      <x:c r="C15" s="28"/>
      <x:c r="D15" s="28"/>
      <x:c r="E15" s="28"/>
      <x:c r="F15" s="28"/>
      <x:c r="G15" s="28"/>
      <x:c r="H15" s="28"/>
      <x:c r="I15" s="28"/>
    </x:row>
    <x:row r="17">
      <x:c r="A17" s="29" t="s">
        <x:v>158</x:v>
      </x:c>
      <x:c r="B17" s="29" t="s">
        <x:v>159</x:v>
      </x:c>
      <x:c r="C17" s="29"/>
      <x:c r="D17" s="29" t="s">
        <x:v>160</x:v>
      </x:c>
      <x:c r="E17" s="29" t="s">
        <x:v>161</x:v>
      </x:c>
      <x:c r="F17" s="29" t="s">
        <x:v>162</x:v>
      </x:c>
    </x:row>
    <x:row r="18">
      <x:c r="A18" s="29"/>
      <x:c r="B18" s="15" t="s">
        <x:v>830</x:v>
      </x:c>
      <x:c r="C18" s="15" t="s">
        <x:v>973</x:v>
      </x:c>
      <x:c r="D18" s="29"/>
      <x:c r="E18" s="29"/>
      <x:c r="F18" s="29"/>
    </x:row>
    <x:row r="19">
      <x:c r="A19" s="16" t="s">
        <x:v>1012</x:v>
      </x:c>
      <x:c r="B19" s="13" t="s">
        <x:v>988</x:v>
      </x:c>
      <x:c r="C19" s="13" t="s">
        <x:v>926</x:v>
      </x:c>
      <x:c r="D19" s="13" t="s">
        <x:v>1013</x:v>
      </x:c>
      <x:c r="E19" s="13">
        <x:v>120</x:v>
      </x:c>
      <x:c r="F19" s="17" t="s">
        <x:v>5</x:v>
      </x:c>
    </x:row>
    <x:row r="20">
      <x:c r="A20" s="16" t="s">
        <x:v>1014</x:v>
      </x:c>
      <x:c r="B20" s="13" t="s">
        <x:v>988</x:v>
      </x:c>
      <x:c r="C20" s="13" t="s">
        <x:v>965</x:v>
      </x:c>
      <x:c r="D20" s="13" t="s">
        <x:v>1015</x:v>
      </x:c>
      <x:c r="E20" s="13" t="s">
        <x:v>1016</x:v>
      </x:c>
      <x:c r="F20" s="17" t="s">
        <x:v>5</x:v>
      </x:c>
    </x:row>
    <x:row r="21">
      <x:c r="A21" s="16" t="s">
        <x:v>1017</x:v>
      </x:c>
      <x:c r="B21" s="13" t="s">
        <x:v>988</x:v>
      </x:c>
      <x:c r="C21" s="13" t="s">
        <x:v>1018</x:v>
      </x:c>
      <x:c r="D21" s="13" t="s">
        <x:v>1019</x:v>
      </x:c>
      <x:c r="E21" s="13" t="s">
        <x:v>1020</x:v>
      </x:c>
      <x:c r="F21" s="17" t="s">
        <x:v>5</x:v>
      </x:c>
    </x:row>
    <x:row r="22">
      <x:c r="A22" s="16" t="s">
        <x:v>1021</x:v>
      </x:c>
      <x:c r="B22" s="13" t="s">
        <x:v>988</x:v>
      </x:c>
      <x:c r="C22" s="13" t="s">
        <x:v>1022</x:v>
      </x:c>
      <x:c r="D22" s="13" t="s">
        <x:v>1023</x:v>
      </x:c>
      <x:c r="E22" s="13" t="s">
        <x:v>1024</x:v>
      </x:c>
      <x:c r="F22" s="17" t="s">
        <x:v>5</x:v>
      </x:c>
    </x:row>
    <x:row r="23">
      <x:c r="A23" s="16" t="s">
        <x:v>1025</x:v>
      </x:c>
      <x:c r="B23" s="13" t="s">
        <x:v>975</x:v>
      </x:c>
      <x:c r="C23" s="13" t="s">
        <x:v>984</x:v>
      </x:c>
      <x:c r="D23" s="13" t="s">
        <x:v>1026</x:v>
      </x:c>
      <x:c r="E23" s="13" t="b">
        <x:v>1</x:v>
      </x:c>
      <x:c r="F23" s="17" t="s">
        <x:v>5</x:v>
      </x:c>
    </x:row>
    <x:row r="24">
      <x:c r="A24" s="16" t="s">
        <x:v>1027</x:v>
      </x:c>
      <x:c r="B24" s="13" t="s">
        <x:v>988</x:v>
      </x:c>
      <x:c r="C24" s="13" t="s">
        <x:v>962</x:v>
      </x:c>
      <x:c r="D24" s="13" t="s">
        <x:v>1028</x:v>
      </x:c>
      <x:c r="E24" s="13">
        <x:v>0</x:v>
      </x:c>
      <x:c r="F24" s="17" t="s">
        <x:v>5</x:v>
      </x:c>
    </x:row>
    <x:row r="25">
      <x:c r="A25" s="16" t="s">
        <x:v>1029</x:v>
      </x:c>
      <x:c r="B25" s="13" t="s">
        <x:v>988</x:v>
      </x:c>
      <x:c r="C25" s="13" t="s">
        <x:v>1030</x:v>
      </x:c>
      <x:c r="D25" s="13" t="s">
        <x:v>1031</x:v>
      </x:c>
      <x:c r="E25" s="13">
        <x:v>0</x:v>
      </x:c>
      <x:c r="F25" s="17" t="s">
        <x:v>5</x:v>
      </x:c>
    </x:row>
    <x:row r="26">
      <x:c r="A26" s="16" t="s">
        <x:v>1032</x:v>
      </x:c>
      <x:c r="B26" s="13" t="s">
        <x:v>988</x:v>
      </x:c>
      <x:c r="C26" s="13" t="s">
        <x:v>179</x:v>
      </x:c>
      <x:c r="D26" s="13" t="s">
        <x:v>1033</x:v>
      </x:c>
      <x:c r="E26" s="13">
        <x:v>0</x:v>
      </x:c>
      <x:c r="F26" s="17" t="s">
        <x:v>5</x:v>
      </x:c>
    </x:row>
    <x:row r="27" ht="46.5">
      <x:c r="A27" s="16" t="s">
        <x:v>1034</x:v>
      </x:c>
      <x:c r="B27" s="13" t="s">
        <x:v>975</x:v>
      </x:c>
      <x:c r="C27" s="13" t="s">
        <x:v>1035</x:v>
      </x:c>
      <x:c r="D27" s="13" t="s">
        <x:v>1036</x:v>
      </x:c>
      <x:c r="E27" s="13" t="b">
        <x:v>0</x:v>
      </x:c>
      <x:c r="F27" s="17" t="s">
        <x:v>5</x:v>
      </x:c>
    </x:row>
  </x:sheetData>
  <x:mergeCells>
    <x:mergeCell ref="A1:I1"/>
    <x:mergeCell ref="E2:F2"/>
    <x:mergeCell ref="B3:C3"/>
    <x:mergeCell ref="F3:I3"/>
    <x:mergeCell ref="B4:C4"/>
    <x:mergeCell ref="F4:I4"/>
    <x:mergeCell ref="B5:C5"/>
    <x:mergeCell ref="F5:I5"/>
    <x:mergeCell ref="B6:C6"/>
    <x:mergeCell ref="F6:I6"/>
    <x:mergeCell ref="B7:C7"/>
    <x:mergeCell ref="F7:I7"/>
    <x:mergeCell ref="A9:I9"/>
    <x:mergeCell ref="B11:D11"/>
    <x:mergeCell ref="B12:D12"/>
    <x:mergeCell ref="B13:D13"/>
    <x:mergeCell ref="B14:I14"/>
    <x:mergeCell ref="B15:I15"/>
    <x:mergeCell ref="A17:A18"/>
    <x:mergeCell ref="B17:C17"/>
    <x:mergeCell ref="D17:D18"/>
    <x:mergeCell ref="E17:E18"/>
    <x:mergeCell ref="F17:F18"/>
  </x:mergeCells>
  <x:conditionalFormatting sqref="F19:F27">
    <x:cfRule type="cellIs" dxfId="62" priority="1" operator="equal">
      <x:formula>"Pass"</x:formula>
    </x:cfRule>
    <x:cfRule type="cellIs" dxfId="61" priority="2" operator="equal">
      <x:formula>"Fail"</x:formula>
    </x:cfRule>
    <x:cfRule type="cellIs" dxfId="60" priority="3" operator="equal">
      <x:formula>"Block"</x:formula>
    </x:cfRule>
  </x:conditionalFormatting>
  <x:dataValidations count="1">
    <x:dataValidation type="list" allowBlank="1" sqref="F19:F27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ColWidth="14.375" defaultRowHeight="23.25"/>
  <x:cols>
    <x:col min="1" max="3" width="14.375" style="8" customWidth="0"/>
    <x:col min="4" max="4" width="29.125" style="8" customWidth="1"/>
    <x:col min="5" max="5" width="28.75" style="8" customWidth="1"/>
    <x:col min="6" max="16384" width="14.375" style="8" customWidth="0"/>
  </x:cols>
  <x:sheetData>
    <x:row r="1" ht="24">
      <x:c r="A1" s="32" t="s">
        <x:v>100</x:v>
      </x:c>
      <x:c r="B1" s="32"/>
      <x:c r="C1" s="32"/>
      <x:c r="D1" s="32"/>
      <x:c r="E1" s="32"/>
      <x:c r="F1" s="32"/>
      <x:c r="G1" s="32"/>
      <x:c r="H1" s="32"/>
      <x:c r="I1" s="32"/>
    </x:row>
    <x:row r="2" ht="24">
      <x:c r="A2" s="9" t="s">
        <x:v>101</x:v>
      </x:c>
      <x:c r="E2" s="33" t="s">
        <x:v>102</x:v>
      </x:c>
      <x:c r="F2" s="33"/>
    </x:row>
    <x:row r="3" ht="24">
      <x:c r="A3" s="10" t="s">
        <x:v>103</x:v>
      </x:c>
      <x:c r="B3" s="34" t="s">
        <x:v>104</x:v>
      </x:c>
      <x:c r="C3" s="34"/>
      <x:c r="E3" s="10" t="s">
        <x:v>103</x:v>
      </x:c>
      <x:c r="F3" s="34" t="s">
        <x:v>104</x:v>
      </x:c>
      <x:c r="G3" s="34"/>
      <x:c r="H3" s="34"/>
      <x:c r="I3" s="34"/>
    </x:row>
    <x:row r="4" ht="24">
      <x:c r="A4" s="11" t="s">
        <x:v>105</x:v>
      </x:c>
      <x:c r="B4" s="31" t="s">
        <x:v>1037</x:v>
      </x:c>
      <x:c r="C4" s="31"/>
      <x:c r="E4" s="11" t="s">
        <x:v>107</x:v>
      </x:c>
      <x:c r="F4" s="31" t="s">
        <x:v>1038</x:v>
      </x:c>
      <x:c r="G4" s="31"/>
      <x:c r="H4" s="31"/>
      <x:c r="I4" s="31"/>
    </x:row>
    <x:row r="5" ht="24">
      <x:c r="A5" s="11" t="s">
        <x:v>109</x:v>
      </x:c>
      <x:c r="B5" s="31" t="s">
        <x:v>1039</x:v>
      </x:c>
      <x:c r="C5" s="31"/>
      <x:c r="E5" s="11" t="s">
        <x:v>111</x:v>
      </x:c>
      <x:c r="F5" s="31" t="s">
        <x:v>179</x:v>
      </x:c>
      <x:c r="G5" s="31"/>
      <x:c r="H5" s="31"/>
      <x:c r="I5" s="31"/>
    </x:row>
    <x:row r="6" ht="24">
      <x:c r="A6" s="11" t="s">
        <x:v>113</x:v>
      </x:c>
      <x:c r="B6" s="31" t="s">
        <x:v>1040</x:v>
      </x:c>
      <x:c r="C6" s="31"/>
      <x:c r="E6" s="11" t="s">
        <x:v>115</x:v>
      </x:c>
      <x:c r="F6" s="31" t="s">
        <x:v>1041</x:v>
      </x:c>
      <x:c r="G6" s="31"/>
      <x:c r="H6" s="31"/>
      <x:c r="I6" s="31"/>
    </x:row>
    <x:row r="7" ht="24">
      <x:c r="A7" s="11" t="s">
        <x:v>117</x:v>
      </x:c>
      <x:c r="B7" s="31" t="s">
        <x:v>1042</x:v>
      </x:c>
      <x:c r="C7" s="31"/>
      <x:c r="E7" s="11" t="s">
        <x:v>119</x:v>
      </x:c>
      <x:c r="F7" s="31" t="s">
        <x:v>1043</x:v>
      </x:c>
      <x:c r="G7" s="31"/>
      <x:c r="H7" s="31"/>
      <x:c r="I7" s="31"/>
    </x:row>
    <x:row r="9">
      <x:c r="A9" s="30" t="s">
        <x:v>143</x:v>
      </x:c>
      <x:c r="B9" s="30"/>
      <x:c r="C9" s="30"/>
      <x:c r="D9" s="30"/>
      <x:c r="E9" s="30"/>
      <x:c r="F9" s="30"/>
      <x:c r="G9" s="30"/>
      <x:c r="H9" s="30"/>
      <x:c r="I9" s="30"/>
    </x:row>
    <x:row r="11" ht="23.25" customHeight="1">
      <x:c r="A11" s="12" t="s">
        <x:v>144</x:v>
      </x:c>
      <x:c r="B11" s="36" t="s">
        <x:v>1044</x:v>
      </x:c>
      <x:c r="C11" s="37"/>
      <x:c r="D11" s="37"/>
      <x:c r="E11" s="37"/>
      <x:c r="F11" s="37"/>
      <x:c r="G11" s="38"/>
      <x:c r="H11" s="12" t="s">
        <x:v>146</x:v>
      </x:c>
      <x:c r="I11" s="14" t="s">
        <x:v>147</x:v>
      </x:c>
    </x:row>
    <x:row r="12">
      <x:c r="A12" s="12" t="s">
        <x:v>148</x:v>
      </x:c>
      <x:c r="B12" s="36" t="s">
        <x:v>149</x:v>
      </x:c>
      <x:c r="C12" s="37"/>
      <x:c r="D12" s="37"/>
      <x:c r="E12" s="37"/>
      <x:c r="F12" s="37"/>
      <x:c r="G12" s="38"/>
      <x:c r="H12" s="12" t="s">
        <x:v>150</x:v>
      </x:c>
      <x:c r="I12" s="14" t="s">
        <x:v>78</x:v>
      </x:c>
    </x:row>
    <x:row r="13" ht="46.5" customHeight="1">
      <x:c r="A13" s="12" t="s">
        <x:v>151</x:v>
      </x:c>
      <x:c r="B13" s="36" t="s">
        <x:v>152</x:v>
      </x:c>
      <x:c r="C13" s="37"/>
      <x:c r="D13" s="37"/>
      <x:c r="E13" s="37"/>
      <x:c r="F13" s="37"/>
      <x:c r="G13" s="38"/>
      <x:c r="H13" s="12" t="s">
        <x:v>153</x:v>
      </x:c>
      <x:c r="I13" s="13" t="s">
        <x:v>77</x:v>
      </x:c>
    </x:row>
    <x:row r="14" ht="46.5">
      <x:c r="A14" s="12" t="s">
        <x:v>154</x:v>
      </x:c>
      <x:c r="B14" s="28" t="s">
        <x:v>1045</x:v>
      </x:c>
      <x:c r="C14" s="28"/>
      <x:c r="D14" s="28"/>
      <x:c r="E14" s="28"/>
      <x:c r="F14" s="28"/>
      <x:c r="G14" s="28"/>
      <x:c r="H14" s="28"/>
      <x:c r="I14" s="28"/>
    </x:row>
    <x:row r="15" ht="46.5">
      <x:c r="A15" s="12" t="s">
        <x:v>156</x:v>
      </x:c>
      <x:c r="B15" s="28" t="s">
        <x:v>1046</x:v>
      </x:c>
      <x:c r="C15" s="28"/>
      <x:c r="D15" s="28"/>
      <x:c r="E15" s="28"/>
      <x:c r="F15" s="28"/>
      <x:c r="G15" s="28"/>
      <x:c r="H15" s="28"/>
      <x:c r="I15" s="28"/>
    </x:row>
    <x:row r="17">
      <x:c r="A17" s="29" t="s">
        <x:v>158</x:v>
      </x:c>
      <x:c r="B17" s="29" t="s">
        <x:v>159</x:v>
      </x:c>
      <x:c r="C17" s="29"/>
      <x:c r="D17" s="29" t="s">
        <x:v>160</x:v>
      </x:c>
      <x:c r="E17" s="29" t="s">
        <x:v>161</x:v>
      </x:c>
      <x:c r="F17" s="29" t="s">
        <x:v>162</x:v>
      </x:c>
    </x:row>
    <x:row r="18">
      <x:c r="A18" s="29"/>
      <x:c r="B18" s="15" t="s">
        <x:v>924</x:v>
      </x:c>
      <x:c r="C18" s="15" t="s">
        <x:v>1047</x:v>
      </x:c>
      <x:c r="D18" s="29"/>
      <x:c r="E18" s="29"/>
      <x:c r="F18" s="29"/>
    </x:row>
    <x:row r="19" ht="52.5" customHeight="1">
      <x:c r="A19" s="16" t="s">
        <x:v>1048</x:v>
      </x:c>
      <x:c r="B19" s="13" t="s">
        <x:v>930</x:v>
      </x:c>
      <x:c r="C19" s="13" t="s">
        <x:v>1049</x:v>
      </x:c>
      <x:c r="D19" s="13" t="s">
        <x:v>1050</x:v>
      </x:c>
      <x:c r="E19" s="13" t="s">
        <x:v>1051</x:v>
      </x:c>
      <x:c r="F19" s="17" t="s">
        <x:v>5</x:v>
      </x:c>
    </x:row>
    <x:row r="20" ht="54.75" customHeight="1">
      <x:c r="A20" s="16" t="s">
        <x:v>1052</x:v>
      </x:c>
      <x:c r="B20" s="13" t="s">
        <x:v>1053</x:v>
      </x:c>
      <x:c r="C20" s="13" t="s">
        <x:v>1049</x:v>
      </x:c>
      <x:c r="D20" s="13" t="s">
        <x:v>1054</x:v>
      </x:c>
      <x:c r="E20" s="13" t="s">
        <x:v>1055</x:v>
      </x:c>
      <x:c r="F20" s="17" t="s">
        <x:v>5</x:v>
      </x:c>
    </x:row>
    <x:row r="21" ht="54" customHeight="1">
      <x:c r="A21" s="16" t="s">
        <x:v>1056</x:v>
      </x:c>
      <x:c r="B21" s="13" t="s">
        <x:v>1057</x:v>
      </x:c>
      <x:c r="C21" s="13" t="s">
        <x:v>1049</x:v>
      </x:c>
      <x:c r="D21" s="13" t="s">
        <x:v>1058</x:v>
      </x:c>
      <x:c r="E21" s="13" t="s">
        <x:v>1051</x:v>
      </x:c>
      <x:c r="F21" s="17" t="s">
        <x:v>5</x:v>
      </x:c>
    </x:row>
    <x:row r="22" ht="49.5" customHeight="1">
      <x:c r="A22" s="16" t="s">
        <x:v>1059</x:v>
      </x:c>
      <x:c r="B22" s="13" t="s">
        <x:v>1060</x:v>
      </x:c>
      <x:c r="C22" s="13" t="s">
        <x:v>1061</x:v>
      </x:c>
      <x:c r="D22" s="13" t="s">
        <x:v>1062</x:v>
      </x:c>
      <x:c r="E22" s="13" t="s">
        <x:v>1063</x:v>
      </x:c>
      <x:c r="F22" s="17" t="s">
        <x:v>5</x:v>
      </x:c>
    </x:row>
    <x:row r="23" ht="33" customHeight="1">
      <x:c r="A23" s="16" t="s">
        <x:v>1064</x:v>
      </x:c>
      <x:c r="B23" s="13" t="s">
        <x:v>942</x:v>
      </x:c>
      <x:c r="C23" s="13" t="s">
        <x:v>1049</x:v>
      </x:c>
      <x:c r="D23" s="13" t="s">
        <x:v>1065</x:v>
      </x:c>
      <x:c r="E23" s="13" t="s">
        <x:v>1066</x:v>
      </x:c>
      <x:c r="F23" s="17" t="s">
        <x:v>5</x:v>
      </x:c>
    </x:row>
    <x:row r="24" ht="29.25" customHeight="1">
      <x:c r="A24" s="16" t="s">
        <x:v>1067</x:v>
      </x:c>
      <x:c r="B24" s="13" t="s">
        <x:v>179</x:v>
      </x:c>
      <x:c r="C24" s="13" t="s">
        <x:v>1049</x:v>
      </x:c>
      <x:c r="D24" s="13" t="s">
        <x:v>1068</x:v>
      </x:c>
      <x:c r="E24" s="13" t="s">
        <x:v>1066</x:v>
      </x:c>
      <x:c r="F24" s="17" t="s">
        <x:v>5</x:v>
      </x:c>
    </x:row>
    <x:row r="25" ht="30" customHeight="1">
      <x:c r="A25" s="16" t="s">
        <x:v>1069</x:v>
      </x:c>
      <x:c r="B25" s="13" t="s">
        <x:v>1070</x:v>
      </x:c>
      <x:c r="C25" s="13" t="s">
        <x:v>1049</x:v>
      </x:c>
      <x:c r="D25" s="13" t="s">
        <x:v>1071</x:v>
      </x:c>
      <x:c r="E25" s="13" t="s">
        <x:v>1066</x:v>
      </x:c>
      <x:c r="F25" s="17" t="s">
        <x:v>5</x:v>
      </x:c>
    </x:row>
    <x:row r="26" ht="77.25" customHeight="1">
      <x:c r="A26" s="16" t="s">
        <x:v>1072</x:v>
      </x:c>
      <x:c r="B26" s="13" t="s">
        <x:v>930</x:v>
      </x:c>
      <x:c r="C26" s="13" t="s">
        <x:v>1073</x:v>
      </x:c>
      <x:c r="D26" s="13" t="s">
        <x:v>1074</x:v>
      </x:c>
      <x:c r="E26" s="13" t="s">
        <x:v>1066</x:v>
      </x:c>
      <x:c r="F26" s="17" t="s">
        <x:v>5</x:v>
      </x:c>
    </x:row>
  </x:sheetData>
  <x:mergeCells>
    <x:mergeCell ref="A1:I1"/>
    <x:mergeCell ref="E2:F2"/>
    <x:mergeCell ref="B3:C3"/>
    <x:mergeCell ref="F3:I3"/>
    <x:mergeCell ref="B4:C4"/>
    <x:mergeCell ref="F4:I4"/>
    <x:mergeCell ref="B5:C5"/>
    <x:mergeCell ref="F5:I5"/>
    <x:mergeCell ref="B6:C6"/>
    <x:mergeCell ref="F6:I6"/>
    <x:mergeCell ref="B7:C7"/>
    <x:mergeCell ref="F7:I7"/>
    <x:mergeCell ref="A9:I9"/>
    <x:mergeCell ref="B14:I14"/>
    <x:mergeCell ref="B11:G11"/>
    <x:mergeCell ref="B12:G12"/>
    <x:mergeCell ref="B13:G13"/>
    <x:mergeCell ref="B15:I15"/>
    <x:mergeCell ref="A17:A18"/>
    <x:mergeCell ref="B17:C17"/>
    <x:mergeCell ref="D17:D18"/>
    <x:mergeCell ref="E17:E18"/>
    <x:mergeCell ref="F17:F18"/>
  </x:mergeCells>
  <x:conditionalFormatting sqref="F19:F26">
    <x:cfRule type="cellIs" dxfId="59" priority="1" operator="equal">
      <x:formula>"Pass"</x:formula>
    </x:cfRule>
    <x:cfRule type="cellIs" dxfId="58" priority="2" operator="equal">
      <x:formula>"Fail"</x:formula>
    </x:cfRule>
    <x:cfRule type="cellIs" dxfId="57" priority="3" operator="equal">
      <x:formula>"Block"</x:formula>
    </x:cfRule>
  </x:conditionalFormatting>
  <x:dataValidations count="1">
    <x:dataValidation type="list" allowBlank="1" sqref="F19:F26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3" width="21" style="8" customWidth="1"/>
    <x:col min="4" max="4" width="36.75" style="8" customWidth="1"/>
    <x:col min="5" max="5" width="30.875" style="8" customWidth="1"/>
    <x:col min="6" max="6" width="14.875" style="8" customWidth="1"/>
    <x:col min="7" max="8" width="12.25" style="8" customWidth="1"/>
    <x:col min="9" max="9" width="15.375" style="8" customWidth="1"/>
    <x:col min="10" max="16384" width="7.625" style="8" customWidth="0"/>
  </x:cols>
  <x:sheetData>
    <x:row r="1" ht="24">
      <x:c r="A1" s="32" t="s">
        <x:v>100</x:v>
      </x:c>
      <x:c r="B1" s="32"/>
      <x:c r="C1" s="32"/>
      <x:c r="D1" s="32"/>
      <x:c r="E1" s="32"/>
      <x:c r="F1" s="32"/>
      <x:c r="G1" s="32"/>
      <x:c r="H1" s="32"/>
      <x:c r="I1" s="32"/>
    </x:row>
    <x:row r="2" ht="24">
      <x:c r="A2" s="9" t="s">
        <x:v>101</x:v>
      </x:c>
      <x:c r="E2" s="33" t="s">
        <x:v>102</x:v>
      </x:c>
      <x:c r="F2" s="33"/>
    </x:row>
    <x:row r="3" ht="24">
      <x:c r="A3" s="10" t="s">
        <x:v>103</x:v>
      </x:c>
      <x:c r="B3" s="34" t="s">
        <x:v>104</x:v>
      </x:c>
      <x:c r="C3" s="34"/>
      <x:c r="E3" s="10" t="s">
        <x:v>103</x:v>
      </x:c>
      <x:c r="F3" s="34" t="s">
        <x:v>104</x:v>
      </x:c>
      <x:c r="G3" s="34"/>
      <x:c r="H3" s="34"/>
      <x:c r="I3" s="34"/>
    </x:row>
    <x:row r="4" ht="24">
      <x:c r="A4" s="11" t="s">
        <x:v>105</x:v>
      </x:c>
      <x:c r="B4" s="31" t="s">
        <x:v>881</x:v>
      </x:c>
      <x:c r="C4" s="31"/>
      <x:c r="E4" s="11" t="s">
        <x:v>107</x:v>
      </x:c>
      <x:c r="F4" s="31" t="s">
        <x:v>1075</x:v>
      </x:c>
      <x:c r="G4" s="31"/>
      <x:c r="H4" s="31"/>
      <x:c r="I4" s="31"/>
    </x:row>
    <x:row r="5" ht="24">
      <x:c r="A5" s="11" t="s">
        <x:v>109</x:v>
      </x:c>
      <x:c r="B5" s="31" t="s">
        <x:v>889</x:v>
      </x:c>
      <x:c r="C5" s="31"/>
      <x:c r="E5" s="11" t="s">
        <x:v>111</x:v>
      </x:c>
      <x:c r="F5" s="31" t="s">
        <x:v>1076</x:v>
      </x:c>
      <x:c r="G5" s="31"/>
      <x:c r="H5" s="31"/>
      <x:c r="I5" s="31"/>
    </x:row>
    <x:row r="6" ht="24">
      <x:c r="A6" s="11" t="s">
        <x:v>113</x:v>
      </x:c>
      <x:c r="B6" s="31" t="s">
        <x:v>896</x:v>
      </x:c>
      <x:c r="C6" s="31"/>
      <x:c r="E6" s="11" t="s">
        <x:v>115</x:v>
      </x:c>
      <x:c r="F6" s="31" t="s">
        <x:v>1077</x:v>
      </x:c>
      <x:c r="G6" s="31"/>
      <x:c r="H6" s="31"/>
      <x:c r="I6" s="31"/>
    </x:row>
    <x:row r="7" ht="24">
      <x:c r="A7" s="11" t="s">
        <x:v>117</x:v>
      </x:c>
      <x:c r="B7" s="31" t="s">
        <x:v>1078</x:v>
      </x:c>
      <x:c r="C7" s="31"/>
      <x:c r="E7" s="11" t="s">
        <x:v>119</x:v>
      </x:c>
      <x:c r="F7" s="31" t="s">
        <x:v>1079</x:v>
      </x:c>
      <x:c r="G7" s="31"/>
      <x:c r="H7" s="31"/>
      <x:c r="I7" s="31"/>
    </x:row>
    <x:row r="8" ht="24">
      <x:c r="A8" s="11" t="s">
        <x:v>121</x:v>
      </x:c>
      <x:c r="B8" s="31" t="s">
        <x:v>1080</x:v>
      </x:c>
      <x:c r="C8" s="31"/>
    </x:row>
    <x:row r="10">
      <x:c r="A10" s="30" t="s">
        <x:v>143</x:v>
      </x:c>
      <x:c r="B10" s="30"/>
      <x:c r="C10" s="30"/>
      <x:c r="D10" s="30"/>
      <x:c r="E10" s="30"/>
      <x:c r="F10" s="30"/>
      <x:c r="G10" s="30"/>
      <x:c r="H10" s="30"/>
      <x:c r="I10" s="30"/>
    </x:row>
    <x:row r="12" ht="23.25" customHeight="1">
      <x:c r="A12" s="12" t="s">
        <x:v>144</x:v>
      </x:c>
      <x:c r="B12" s="36" t="s">
        <x:v>1081</x:v>
      </x:c>
      <x:c r="C12" s="37"/>
      <x:c r="D12" s="37"/>
      <x:c r="E12" s="37"/>
      <x:c r="F12" s="37"/>
      <x:c r="G12" s="38"/>
      <x:c r="H12" s="12" t="s">
        <x:v>146</x:v>
      </x:c>
      <x:c r="I12" s="14" t="s">
        <x:v>147</x:v>
      </x:c>
    </x:row>
    <x:row r="13" ht="23.25" customHeight="1">
      <x:c r="A13" s="12" t="s">
        <x:v>148</x:v>
      </x:c>
      <x:c r="B13" s="36" t="s">
        <x:v>1082</x:v>
      </x:c>
      <x:c r="C13" s="37"/>
      <x:c r="D13" s="37"/>
      <x:c r="E13" s="37"/>
      <x:c r="F13" s="37"/>
      <x:c r="G13" s="38"/>
      <x:c r="H13" s="12" t="s">
        <x:v>150</x:v>
      </x:c>
      <x:c r="I13" s="14" t="s">
        <x:v>78</x:v>
      </x:c>
    </x:row>
    <x:row r="14" ht="46.5">
      <x:c r="A14" s="12" t="s">
        <x:v>151</x:v>
      </x:c>
      <x:c r="B14" s="36" t="s">
        <x:v>152</x:v>
      </x:c>
      <x:c r="C14" s="37"/>
      <x:c r="D14" s="37"/>
      <x:c r="E14" s="37"/>
      <x:c r="F14" s="37"/>
      <x:c r="G14" s="38"/>
      <x:c r="H14" s="12" t="s">
        <x:v>153</x:v>
      </x:c>
      <x:c r="I14" s="13" t="s">
        <x:v>77</x:v>
      </x:c>
    </x:row>
    <x:row r="15" ht="46.5">
      <x:c r="A15" s="12" t="s">
        <x:v>154</x:v>
      </x:c>
      <x:c r="B15" s="28" t="s">
        <x:v>1083</x:v>
      </x:c>
      <x:c r="C15" s="28"/>
      <x:c r="D15" s="28"/>
      <x:c r="E15" s="28"/>
      <x:c r="F15" s="28"/>
      <x:c r="G15" s="28"/>
      <x:c r="H15" s="28"/>
      <x:c r="I15" s="28"/>
    </x:row>
    <x:row r="16" ht="46.5">
      <x:c r="A16" s="12" t="s">
        <x:v>156</x:v>
      </x:c>
      <x:c r="B16" s="28" t="s">
        <x:v>1084</x:v>
      </x:c>
      <x:c r="C16" s="28"/>
      <x:c r="D16" s="28"/>
      <x:c r="E16" s="28"/>
      <x:c r="F16" s="28"/>
      <x:c r="G16" s="28"/>
      <x:c r="H16" s="28"/>
      <x:c r="I16" s="28"/>
    </x:row>
    <x:row r="18">
      <x:c r="A18" s="29" t="s">
        <x:v>158</x:v>
      </x:c>
      <x:c r="B18" s="29" t="s">
        <x:v>159</x:v>
      </x:c>
      <x:c r="C18" s="29"/>
      <x:c r="D18" s="29" t="s">
        <x:v>160</x:v>
      </x:c>
      <x:c r="E18" s="29" t="s">
        <x:v>161</x:v>
      </x:c>
      <x:c r="F18" s="29" t="s">
        <x:v>162</x:v>
      </x:c>
    </x:row>
    <x:row r="19">
      <x:c r="A19" s="29"/>
      <x:c r="B19" s="15" t="s">
        <x:v>830</x:v>
      </x:c>
      <x:c r="C19" s="15" t="s">
        <x:v>1085</x:v>
      </x:c>
      <x:c r="D19" s="29"/>
      <x:c r="E19" s="29"/>
      <x:c r="F19" s="29"/>
    </x:row>
    <x:row r="20">
      <x:c r="A20" s="16" t="s">
        <x:v>1086</x:v>
      </x:c>
      <x:c r="B20" s="13" t="s">
        <x:v>1087</x:v>
      </x:c>
      <x:c r="C20" s="13" t="s">
        <x:v>881</x:v>
      </x:c>
      <x:c r="D20" s="13" t="s">
        <x:v>1088</x:v>
      </x:c>
      <x:c r="E20" s="13" t="s">
        <x:v>1089</x:v>
      </x:c>
      <x:c r="F20" s="17" t="s">
        <x:v>5</x:v>
      </x:c>
    </x:row>
    <x:row r="21">
      <x:c r="A21" s="16" t="s">
        <x:v>1090</x:v>
      </x:c>
      <x:c r="B21" s="13" t="s">
        <x:v>1087</x:v>
      </x:c>
      <x:c r="C21" s="13" t="s">
        <x:v>889</x:v>
      </x:c>
      <x:c r="D21" s="13" t="s">
        <x:v>1091</x:v>
      </x:c>
      <x:c r="E21" s="13" t="s">
        <x:v>1092</x:v>
      </x:c>
      <x:c r="F21" s="17" t="s">
        <x:v>5</x:v>
      </x:c>
    </x:row>
    <x:row r="22">
      <x:c r="A22" s="16" t="s">
        <x:v>1093</x:v>
      </x:c>
      <x:c r="B22" s="13" t="s">
        <x:v>1087</x:v>
      </x:c>
      <x:c r="C22" s="13" t="s">
        <x:v>896</x:v>
      </x:c>
      <x:c r="D22" s="13" t="s">
        <x:v>1094</x:v>
      </x:c>
      <x:c r="E22" s="13" t="s">
        <x:v>1095</x:v>
      </x:c>
      <x:c r="F22" s="17" t="s">
        <x:v>5</x:v>
      </x:c>
    </x:row>
    <x:row r="23" ht="46.5">
      <x:c r="A23" s="16" t="s">
        <x:v>1096</x:v>
      </x:c>
      <x:c r="B23" s="13" t="s">
        <x:v>1087</x:v>
      </x:c>
      <x:c r="C23" s="13" t="s">
        <x:v>179</x:v>
      </x:c>
      <x:c r="D23" s="13" t="s">
        <x:v>1097</x:v>
      </x:c>
      <x:c r="E23" s="13" t="s">
        <x:v>1098</x:v>
      </x:c>
      <x:c r="F23" s="17" t="s">
        <x:v>5</x:v>
      </x:c>
    </x:row>
    <x:row r="24" ht="51.75" customHeight="1">
      <x:c r="A24" s="16" t="s">
        <x:v>1099</x:v>
      </x:c>
      <x:c r="B24" s="13" t="s">
        <x:v>1100</x:v>
      </x:c>
      <x:c r="C24" s="13" t="s">
        <x:v>896</x:v>
      </x:c>
      <x:c r="D24" s="13" t="s">
        <x:v>1101</x:v>
      </x:c>
      <x:c r="E24" s="13" t="s">
        <x:v>1102</x:v>
      </x:c>
      <x:c r="F24" s="17" t="s">
        <x:v>5</x:v>
      </x:c>
    </x:row>
    <x:row r="25" ht="46.5">
      <x:c r="A25" s="16" t="s">
        <x:v>1103</x:v>
      </x:c>
      <x:c r="B25" s="13" t="s">
        <x:v>1104</x:v>
      </x:c>
      <x:c r="C25" s="13" t="s">
        <x:v>1105</x:v>
      </x:c>
      <x:c r="D25" s="13" t="s">
        <x:v>1106</x:v>
      </x:c>
      <x:c r="E25" s="13" t="s">
        <x:v>1107</x:v>
      </x:c>
      <x:c r="F25" s="17" t="s">
        <x:v>5</x:v>
      </x:c>
    </x:row>
    <x:row r="26" ht="46.5">
      <x:c r="A26" s="16" t="s">
        <x:v>1108</x:v>
      </x:c>
      <x:c r="B26" s="13" t="s">
        <x:v>1109</x:v>
      </x:c>
      <x:c r="C26" s="13" t="s">
        <x:v>1110</x:v>
      </x:c>
      <x:c r="D26" s="13" t="s">
        <x:v>1111</x:v>
      </x:c>
      <x:c r="E26" s="13" t="s">
        <x:v>1112</x:v>
      </x:c>
      <x:c r="F26" s="17" t="s">
        <x:v>5</x:v>
      </x:c>
    </x:row>
    <x:row r="27">
      <x:c r="A27" s="16" t="s">
        <x:v>1113</x:v>
      </x:c>
      <x:c r="B27" s="13" t="s">
        <x:v>1114</x:v>
      </x:c>
      <x:c r="C27" s="13" t="s">
        <x:v>179</x:v>
      </x:c>
      <x:c r="D27" s="13" t="s">
        <x:v>1115</x:v>
      </x:c>
      <x:c r="E27" s="13" t="b">
        <x:v>0</x:v>
      </x:c>
      <x:c r="F27" s="17" t="s">
        <x:v>5</x:v>
      </x:c>
    </x:row>
    <x:row r="28">
      <x:c r="A28" s="16" t="s">
        <x:v>1116</x:v>
      </x:c>
      <x:c r="B28" s="13" t="s">
        <x:v>1114</x:v>
      </x:c>
      <x:c r="C28" s="13" t="s">
        <x:v>1117</x:v>
      </x:c>
      <x:c r="D28" s="13" t="s">
        <x:v>1118</x:v>
      </x:c>
      <x:c r="E28" s="13" t="s">
        <x:v>1119</x:v>
      </x:c>
      <x:c r="F28" s="17" t="s">
        <x:v>5</x:v>
      </x:c>
    </x:row>
    <x:row r="29" ht="69.75">
      <x:c r="A29" s="16" t="s">
        <x:v>1120</x:v>
      </x:c>
      <x:c r="B29" s="13" t="s">
        <x:v>1121</x:v>
      </x:c>
      <x:c r="C29" s="13" t="s">
        <x:v>1122</x:v>
      </x:c>
      <x:c r="D29" s="13" t="s">
        <x:v>1123</x:v>
      </x:c>
      <x:c r="E29" s="24" t="s">
        <x:v>1124</x:v>
      </x:c>
      <x:c r="F29" s="17" t="s">
        <x:v>5</x:v>
      </x:c>
    </x:row>
  </x:sheetData>
  <x:mergeCells>
    <x:mergeCell ref="A1:I1"/>
    <x:mergeCell ref="E2:F2"/>
    <x:mergeCell ref="B3:C3"/>
    <x:mergeCell ref="F3:I3"/>
    <x:mergeCell ref="B4:C4"/>
    <x:mergeCell ref="F4:I4"/>
    <x:mergeCell ref="B5:C5"/>
    <x:mergeCell ref="F5:I5"/>
    <x:mergeCell ref="B6:C6"/>
    <x:mergeCell ref="F6:I6"/>
    <x:mergeCell ref="B7:C7"/>
    <x:mergeCell ref="F7:I7"/>
    <x:mergeCell ref="B8:C8"/>
    <x:mergeCell ref="A10:I10"/>
    <x:mergeCell ref="B15:I15"/>
    <x:mergeCell ref="B12:G12"/>
    <x:mergeCell ref="B13:G13"/>
    <x:mergeCell ref="B14:G14"/>
    <x:mergeCell ref="B16:I16"/>
    <x:mergeCell ref="A18:A19"/>
    <x:mergeCell ref="B18:C18"/>
    <x:mergeCell ref="D18:D19"/>
    <x:mergeCell ref="E18:E19"/>
    <x:mergeCell ref="F18:F19"/>
  </x:mergeCells>
  <x:conditionalFormatting sqref="F20:F29">
    <x:cfRule type="cellIs" dxfId="56" priority="1" operator="equal">
      <x:formula>"Pass"</x:formula>
    </x:cfRule>
    <x:cfRule type="cellIs" dxfId="55" priority="2" operator="equal">
      <x:formula>"Fail"</x:formula>
    </x:cfRule>
    <x:cfRule type="cellIs" dxfId="54" priority="3" operator="equal">
      <x:formula>"Block"</x:formula>
    </x:cfRule>
  </x:conditionalFormatting>
  <x:dataValidations count="1">
    <x:dataValidation type="list" allowBlank="1" sqref="F20:F29">
      <x:formula1>"Pass,Fail,No run,Block"</x:formula1>
      <x:formula2>0</x:formula2>
    </x:dataValidation>
  </x:dataValidations>
  <x:hyperlinks>
    <x:hyperlink xmlns:r="http://schemas.openxmlformats.org/officeDocument/2006/relationships" ref="E29" r:id="R358929fbfde9402c"/>
  </x:hyperlink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2" width="15.75" style="8" customWidth="1"/>
    <x:col min="3" max="3" width="49" style="8" customWidth="1"/>
    <x:col min="4" max="4" width="37.25" style="8" customWidth="1"/>
    <x:col min="5" max="5" width="17.125" style="8" customWidth="1"/>
    <x:col min="6" max="7" width="7.625" style="8" customWidth="0"/>
    <x:col min="8" max="8" width="8.75" style="8" customWidth="1"/>
    <x:col min="9" max="9" width="19.25" style="8" customWidth="1"/>
    <x:col min="10" max="16384" width="7.625" style="8" customWidth="0"/>
  </x:cols>
  <x:sheetData>
    <x:row r="1">
      <x:c r="A1" s="30" t="s">
        <x:v>143</x:v>
      </x:c>
      <x:c r="B1" s="30"/>
      <x:c r="C1" s="30"/>
      <x:c r="D1" s="30"/>
      <x:c r="E1" s="30"/>
      <x:c r="H1" s="13"/>
      <x:c r="I1" s="15" t="s">
        <x:v>1125</x:v>
      </x:c>
    </x:row>
    <x:row r="2">
      <x:c r="H2" s="17" t="s">
        <x:v>289</x:v>
      </x:c>
      <x:c r="I2" s="17" t="s">
        <x:v>962</x:v>
      </x:c>
    </x:row>
    <x:row r="3">
      <x:c r="A3" s="12" t="s">
        <x:v>144</x:v>
      </x:c>
      <x:c r="B3" s="28" t="s">
        <x:v>1126</x:v>
      </x:c>
      <x:c r="C3" s="28"/>
      <x:c r="D3" s="12" t="s">
        <x:v>146</x:v>
      </x:c>
      <x:c r="E3" s="14" t="s">
        <x:v>147</x:v>
      </x:c>
      <x:c r="H3" s="17" t="s">
        <x:v>293</x:v>
      </x:c>
      <x:c r="I3" s="17" t="s">
        <x:v>965</x:v>
      </x:c>
    </x:row>
    <x:row r="4">
      <x:c r="A4" s="12" t="s">
        <x:v>148</x:v>
      </x:c>
      <x:c r="B4" s="28" t="s">
        <x:v>296</x:v>
      </x:c>
      <x:c r="C4" s="28"/>
      <x:c r="D4" s="12" t="s">
        <x:v>150</x:v>
      </x:c>
      <x:c r="E4" s="14" t="s">
        <x:v>78</x:v>
      </x:c>
      <x:c r="H4" s="17" t="s">
        <x:v>297</x:v>
      </x:c>
      <x:c r="I4" s="17" t="s">
        <x:v>967</x:v>
      </x:c>
    </x:row>
    <x:row r="5" ht="46.5">
      <x:c r="A5" s="12" t="s">
        <x:v>151</x:v>
      </x:c>
      <x:c r="B5" s="28" t="s">
        <x:v>152</x:v>
      </x:c>
      <x:c r="C5" s="28"/>
      <x:c r="D5" s="12" t="s">
        <x:v>153</x:v>
      </x:c>
      <x:c r="E5" s="13" t="s">
        <x:v>77</x:v>
      </x:c>
      <x:c r="H5" s="17" t="s">
        <x:v>299</x:v>
      </x:c>
      <x:c r="I5" s="17" t="s">
        <x:v>964</x:v>
      </x:c>
    </x:row>
    <x:row r="6" ht="46.5">
      <x:c r="A6" s="12" t="s">
        <x:v>154</x:v>
      </x:c>
      <x:c r="B6" s="28" t="s">
        <x:v>1127</x:v>
      </x:c>
      <x:c r="C6" s="28"/>
      <x:c r="D6" s="28"/>
      <x:c r="E6" s="28"/>
      <x:c r="H6" s="17" t="s">
        <x:v>303</x:v>
      </x:c>
      <x:c r="I6" s="17" t="s">
        <x:v>1128</x:v>
      </x:c>
    </x:row>
    <x:row r="7" ht="46.5">
      <x:c r="A7" s="12" t="s">
        <x:v>156</x:v>
      </x:c>
      <x:c r="B7" s="28" t="s">
        <x:v>1129</x:v>
      </x:c>
      <x:c r="C7" s="28"/>
      <x:c r="D7" s="28"/>
      <x:c r="E7" s="28"/>
      <x:c r="H7" s="17" t="s">
        <x:v>307</x:v>
      </x:c>
      <x:c r="I7" s="17" t="s">
        <x:v>1130</x:v>
      </x:c>
    </x:row>
    <x:row r="9">
      <x:c r="A9" s="29" t="s">
        <x:v>158</x:v>
      </x:c>
      <x:c r="B9" s="15" t="s">
        <x:v>159</x:v>
      </x:c>
      <x:c r="C9" s="29" t="s">
        <x:v>160</x:v>
      </x:c>
      <x:c r="D9" s="29" t="s">
        <x:v>161</x:v>
      </x:c>
      <x:c r="E9" s="29" t="s">
        <x:v>162</x:v>
      </x:c>
    </x:row>
    <x:row r="10">
      <x:c r="A10" s="29"/>
      <x:c r="B10" s="15" t="s">
        <x:v>1125</x:v>
      </x:c>
      <x:c r="C10" s="29"/>
      <x:c r="D10" s="29"/>
      <x:c r="E10" s="29"/>
    </x:row>
    <x:row r="11" ht="46.5">
      <x:c r="A11" s="16" t="s">
        <x:v>1131</x:v>
      </x:c>
      <x:c r="B11" s="13" t="s">
        <x:v>962</x:v>
      </x:c>
      <x:c r="C11" s="13" t="s">
        <x:v>1132</x:v>
      </x:c>
      <x:c r="D11" s="13" t="s">
        <x:v>188</x:v>
      </x:c>
      <x:c r="E11" s="17" t="s">
        <x:v>5</x:v>
      </x:c>
    </x:row>
    <x:row r="12" ht="46.5">
      <x:c r="A12" s="16" t="s">
        <x:v>1133</x:v>
      </x:c>
      <x:c r="B12" s="13" t="s">
        <x:v>965</x:v>
      </x:c>
      <x:c r="C12" s="13" t="s">
        <x:v>1134</x:v>
      </x:c>
      <x:c r="D12" s="13" t="s">
        <x:v>1135</x:v>
      </x:c>
      <x:c r="E12" s="17" t="s">
        <x:v>5</x:v>
      </x:c>
    </x:row>
    <x:row r="13" ht="24.75" customHeight="1">
      <x:c r="A13" s="16" t="s">
        <x:v>1136</x:v>
      </x:c>
      <x:c r="B13" s="13" t="s">
        <x:v>967</x:v>
      </x:c>
      <x:c r="C13" s="13" t="s">
        <x:v>1137</x:v>
      </x:c>
      <x:c r="D13" s="13" t="s">
        <x:v>1138</x:v>
      </x:c>
      <x:c r="E13" s="17" t="s">
        <x:v>5</x:v>
      </x:c>
    </x:row>
    <x:row r="14">
      <x:c r="A14" s="16" t="s">
        <x:v>1139</x:v>
      </x:c>
      <x:c r="B14" s="13" t="s">
        <x:v>964</x:v>
      </x:c>
      <x:c r="C14" s="13" t="s">
        <x:v>1137</x:v>
      </x:c>
      <x:c r="D14" s="13" t="s">
        <x:v>1138</x:v>
      </x:c>
      <x:c r="E14" s="17" t="s">
        <x:v>5</x:v>
      </x:c>
    </x:row>
    <x:row r="15">
      <x:c r="A15" s="16" t="s">
        <x:v>1140</x:v>
      </x:c>
      <x:c r="B15" s="13" t="s">
        <x:v>1128</x:v>
      </x:c>
      <x:c r="C15" s="13" t="s">
        <x:v>1137</x:v>
      </x:c>
      <x:c r="D15" s="13" t="s">
        <x:v>1138</x:v>
      </x:c>
      <x:c r="E15" s="17" t="s">
        <x:v>5</x:v>
      </x:c>
    </x:row>
    <x:row r="16" ht="46.5">
      <x:c r="A16" s="16" t="s">
        <x:v>1141</x:v>
      </x:c>
      <x:c r="B16" s="13" t="s">
        <x:v>926</x:v>
      </x:c>
      <x:c r="C16" s="13" t="s">
        <x:v>1142</x:v>
      </x:c>
      <x:c r="D16" s="13" t="s">
        <x:v>1143</x:v>
      </x:c>
      <x:c r="E16" s="17" t="s">
        <x:v>5</x:v>
      </x:c>
    </x:row>
    <x:row r="17" ht="46.5">
      <x:c r="A17" s="16" t="s">
        <x:v>1144</x:v>
      </x:c>
      <x:c r="B17" s="13" t="s">
        <x:v>1130</x:v>
      </x:c>
      <x:c r="C17" s="13" t="s">
        <x:v>1145</x:v>
      </x:c>
      <x:c r="D17" s="13" t="s">
        <x:v>188</x:v>
      </x:c>
      <x:c r="E17" s="17" t="s">
        <x:v>5</x:v>
      </x:c>
    </x:row>
  </x:sheetData>
  <x:mergeCells>
    <x:mergeCell ref="A1:E1"/>
    <x:mergeCell ref="B3:C3"/>
    <x:mergeCell ref="B4:C4"/>
    <x:mergeCell ref="B5:C5"/>
    <x:mergeCell ref="B6:E6"/>
    <x:mergeCell ref="B7:E7"/>
    <x:mergeCell ref="A9:A10"/>
    <x:mergeCell ref="C9:C10"/>
    <x:mergeCell ref="D9:D10"/>
    <x:mergeCell ref="E9:E10"/>
  </x:mergeCells>
  <x:conditionalFormatting sqref="E11:E17">
    <x:cfRule type="cellIs" dxfId="53" priority="1" operator="equal">
      <x:formula>"Pass"</x:formula>
    </x:cfRule>
    <x:cfRule type="cellIs" dxfId="52" priority="2" operator="equal">
      <x:formula>"Fail"</x:formula>
    </x:cfRule>
    <x:cfRule type="cellIs" dxfId="51" priority="3" operator="equal">
      <x:formula>"Block"</x:formula>
    </x:cfRule>
  </x:conditionalFormatting>
  <x:dataValidations count="1">
    <x:dataValidation type="list" allowBlank="1" sqref="E11:E17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3" width="22.75" style="8" customWidth="1"/>
    <x:col min="4" max="4" width="36.75" style="8" customWidth="1"/>
    <x:col min="5" max="5" width="34.625" style="8" customWidth="1"/>
    <x:col min="6" max="6" width="14.875" style="8" customWidth="1"/>
    <x:col min="7" max="8" width="12.25" style="8" customWidth="1"/>
    <x:col min="9" max="9" width="17.75" style="8" customWidth="1"/>
    <x:col min="10" max="16384" width="7.625" style="8" customWidth="0"/>
  </x:cols>
  <x:sheetData>
    <x:row r="1" ht="24">
      <x:c r="A1" s="32" t="s">
        <x:v>100</x:v>
      </x:c>
      <x:c r="B1" s="32"/>
      <x:c r="C1" s="32"/>
      <x:c r="D1" s="32"/>
      <x:c r="E1" s="32"/>
      <x:c r="F1" s="32"/>
      <x:c r="G1" s="32"/>
      <x:c r="H1" s="32"/>
      <x:c r="I1" s="32"/>
    </x:row>
    <x:row r="2" ht="24">
      <x:c r="A2" s="9" t="s">
        <x:v>101</x:v>
      </x:c>
      <x:c r="E2" s="33" t="s">
        <x:v>102</x:v>
      </x:c>
      <x:c r="F2" s="33"/>
    </x:row>
    <x:row r="3" ht="24">
      <x:c r="A3" s="10" t="s">
        <x:v>103</x:v>
      </x:c>
      <x:c r="B3" s="34" t="s">
        <x:v>104</x:v>
      </x:c>
      <x:c r="C3" s="34"/>
      <x:c r="E3" s="10" t="s">
        <x:v>103</x:v>
      </x:c>
      <x:c r="F3" s="34" t="s">
        <x:v>104</x:v>
      </x:c>
      <x:c r="G3" s="34"/>
      <x:c r="H3" s="34"/>
      <x:c r="I3" s="34"/>
    </x:row>
    <x:row r="4" ht="24">
      <x:c r="A4" s="11" t="s">
        <x:v>105</x:v>
      </x:c>
      <x:c r="B4" s="31" t="s">
        <x:v>1146</x:v>
      </x:c>
      <x:c r="C4" s="31"/>
      <x:c r="E4" s="11" t="s">
        <x:v>107</x:v>
      </x:c>
      <x:c r="F4" s="31" t="s">
        <x:v>1147</x:v>
      </x:c>
      <x:c r="G4" s="31"/>
      <x:c r="H4" s="31"/>
      <x:c r="I4" s="31"/>
    </x:row>
    <x:row r="5" ht="24">
      <x:c r="A5" s="11" t="s">
        <x:v>109</x:v>
      </x:c>
      <x:c r="B5" s="31" t="s">
        <x:v>1148</x:v>
      </x:c>
      <x:c r="C5" s="31"/>
      <x:c r="E5" s="11" t="s">
        <x:v>111</x:v>
      </x:c>
      <x:c r="F5" s="31" t="s">
        <x:v>1149</x:v>
      </x:c>
      <x:c r="G5" s="31"/>
      <x:c r="H5" s="31"/>
      <x:c r="I5" s="31"/>
    </x:row>
    <x:row r="6" ht="24">
      <x:c r="A6" s="11" t="s">
        <x:v>113</x:v>
      </x:c>
      <x:c r="B6" s="31" t="s">
        <x:v>1150</x:v>
      </x:c>
      <x:c r="C6" s="31"/>
      <x:c r="E6" s="11" t="s">
        <x:v>115</x:v>
      </x:c>
      <x:c r="F6" s="31" t="s">
        <x:v>1151</x:v>
      </x:c>
      <x:c r="G6" s="31"/>
      <x:c r="H6" s="31"/>
      <x:c r="I6" s="31"/>
    </x:row>
    <x:row r="7" ht="24">
      <x:c r="A7" s="11" t="s">
        <x:v>117</x:v>
      </x:c>
      <x:c r="B7" s="31" t="s">
        <x:v>1152</x:v>
      </x:c>
      <x:c r="C7" s="31"/>
      <x:c r="E7" s="11" t="s">
        <x:v>119</x:v>
      </x:c>
      <x:c r="F7" s="31" t="s">
        <x:v>1153</x:v>
      </x:c>
      <x:c r="G7" s="31"/>
      <x:c r="H7" s="31"/>
      <x:c r="I7" s="31"/>
    </x:row>
    <x:row r="8" ht="24">
      <x:c r="E8" s="11" t="s">
        <x:v>123</x:v>
      </x:c>
      <x:c r="F8" s="31" t="s">
        <x:v>1154</x:v>
      </x:c>
      <x:c r="G8" s="31"/>
      <x:c r="H8" s="31"/>
      <x:c r="I8" s="31"/>
    </x:row>
    <x:row r="9" ht="24">
      <x:c r="E9" s="11" t="s">
        <x:v>127</x:v>
      </x:c>
      <x:c r="F9" s="31" t="s">
        <x:v>1155</x:v>
      </x:c>
      <x:c r="G9" s="31"/>
      <x:c r="H9" s="31"/>
      <x:c r="I9" s="31"/>
    </x:row>
    <x:row r="11">
      <x:c r="A11" s="30" t="s">
        <x:v>143</x:v>
      </x:c>
      <x:c r="B11" s="30"/>
      <x:c r="C11" s="30"/>
      <x:c r="D11" s="30"/>
      <x:c r="E11" s="30"/>
      <x:c r="F11" s="30"/>
      <x:c r="G11" s="30"/>
      <x:c r="H11" s="30"/>
      <x:c r="I11" s="30"/>
    </x:row>
    <x:row r="13">
      <x:c r="A13" s="12" t="s">
        <x:v>144</x:v>
      </x:c>
      <x:c r="B13" s="28" t="s">
        <x:v>1156</x:v>
      </x:c>
      <x:c r="C13" s="28"/>
      <x:c r="D13" s="28"/>
      <x:c r="E13" s="21"/>
      <x:c r="F13" s="21"/>
      <x:c r="G13" s="21"/>
      <x:c r="H13" s="12" t="s">
        <x:v>146</x:v>
      </x:c>
      <x:c r="I13" s="14" t="s">
        <x:v>147</x:v>
      </x:c>
    </x:row>
    <x:row r="14">
      <x:c r="A14" s="12" t="s">
        <x:v>148</x:v>
      </x:c>
      <x:c r="B14" s="28" t="s">
        <x:v>149</x:v>
      </x:c>
      <x:c r="C14" s="28"/>
      <x:c r="D14" s="28"/>
      <x:c r="E14" s="21"/>
      <x:c r="F14" s="21"/>
      <x:c r="G14" s="21"/>
      <x:c r="H14" s="12" t="s">
        <x:v>150</x:v>
      </x:c>
      <x:c r="I14" s="14" t="s">
        <x:v>78</x:v>
      </x:c>
    </x:row>
    <x:row r="15" ht="46.5">
      <x:c r="A15" s="12" t="s">
        <x:v>151</x:v>
      </x:c>
      <x:c r="B15" s="28" t="s">
        <x:v>152</x:v>
      </x:c>
      <x:c r="C15" s="28"/>
      <x:c r="D15" s="28"/>
      <x:c r="E15" s="21"/>
      <x:c r="F15" s="21"/>
      <x:c r="G15" s="21"/>
      <x:c r="H15" s="12" t="s">
        <x:v>153</x:v>
      </x:c>
      <x:c r="I15" s="13" t="s">
        <x:v>77</x:v>
      </x:c>
    </x:row>
    <x:row r="16" ht="46.5">
      <x:c r="A16" s="12" t="s">
        <x:v>154</x:v>
      </x:c>
      <x:c r="B16" s="28" t="s">
        <x:v>1157</x:v>
      </x:c>
      <x:c r="C16" s="28"/>
      <x:c r="D16" s="28"/>
      <x:c r="E16" s="28"/>
      <x:c r="F16" s="28"/>
      <x:c r="G16" s="28"/>
      <x:c r="H16" s="28"/>
      <x:c r="I16" s="28"/>
    </x:row>
    <x:row r="17" ht="46.5">
      <x:c r="A17" s="12" t="s">
        <x:v>156</x:v>
      </x:c>
      <x:c r="B17" s="28" t="s">
        <x:v>1158</x:v>
      </x:c>
      <x:c r="C17" s="28"/>
      <x:c r="D17" s="28"/>
      <x:c r="E17" s="28"/>
      <x:c r="F17" s="28"/>
      <x:c r="G17" s="28"/>
      <x:c r="H17" s="28"/>
      <x:c r="I17" s="28"/>
    </x:row>
    <x:row r="19">
      <x:c r="A19" s="29" t="s">
        <x:v>158</x:v>
      </x:c>
      <x:c r="B19" s="29" t="s">
        <x:v>159</x:v>
      </x:c>
      <x:c r="C19" s="29"/>
      <x:c r="D19" s="29" t="s">
        <x:v>160</x:v>
      </x:c>
      <x:c r="E19" s="29" t="s">
        <x:v>161</x:v>
      </x:c>
      <x:c r="F19" s="29" t="s">
        <x:v>162</x:v>
      </x:c>
    </x:row>
    <x:row r="20" ht="46.5">
      <x:c r="A20" s="29"/>
      <x:c r="B20" s="15" t="s">
        <x:v>1159</x:v>
      </x:c>
      <x:c r="C20" s="15" t="s">
        <x:v>1160</x:v>
      </x:c>
      <x:c r="D20" s="29"/>
      <x:c r="E20" s="29"/>
      <x:c r="F20" s="29"/>
    </x:row>
    <x:row r="21" ht="46.5">
      <x:c r="A21" s="16" t="s">
        <x:v>1161</x:v>
      </x:c>
      <x:c r="B21" s="13" t="s">
        <x:v>1162</x:v>
      </x:c>
      <x:c r="C21" s="13" t="s">
        <x:v>1163</x:v>
      </x:c>
      <x:c r="D21" s="13" t="s">
        <x:v>1164</x:v>
      </x:c>
      <x:c r="E21" s="13" t="s">
        <x:v>1165</x:v>
      </x:c>
      <x:c r="F21" s="17" t="s">
        <x:v>5</x:v>
      </x:c>
    </x:row>
    <x:row r="22" ht="46.5">
      <x:c r="A22" s="16" t="s">
        <x:v>1166</x:v>
      </x:c>
      <x:c r="B22" s="13" t="s">
        <x:v>1167</x:v>
      </x:c>
      <x:c r="C22" s="13" t="s">
        <x:v>1168</x:v>
      </x:c>
      <x:c r="D22" s="13" t="s">
        <x:v>1169</x:v>
      </x:c>
      <x:c r="E22" s="13" t="s">
        <x:v>1170</x:v>
      </x:c>
      <x:c r="F22" s="17" t="s">
        <x:v>5</x:v>
      </x:c>
    </x:row>
    <x:row r="23" ht="46.5">
      <x:c r="A23" s="16" t="s">
        <x:v>1171</x:v>
      </x:c>
      <x:c r="B23" s="13" t="s">
        <x:v>478</x:v>
      </x:c>
      <x:c r="C23" s="13" t="s">
        <x:v>1172</x:v>
      </x:c>
      <x:c r="D23" s="13" t="s">
        <x:v>1173</x:v>
      </x:c>
      <x:c r="E23" s="13" t="s">
        <x:v>1174</x:v>
      </x:c>
      <x:c r="F23" s="17" t="s">
        <x:v>5</x:v>
      </x:c>
    </x:row>
    <x:row r="24" ht="46.5">
      <x:c r="A24" s="16" t="s">
        <x:v>1175</x:v>
      </x:c>
      <x:c r="B24" s="13" t="s">
        <x:v>1176</x:v>
      </x:c>
      <x:c r="C24" s="13" t="s">
        <x:v>1177</x:v>
      </x:c>
      <x:c r="D24" s="13" t="s">
        <x:v>1178</x:v>
      </x:c>
      <x:c r="E24" s="13" t="s">
        <x:v>1179</x:v>
      </x:c>
      <x:c r="F24" s="17" t="s">
        <x:v>5</x:v>
      </x:c>
    </x:row>
    <x:row r="25" ht="46.5">
      <x:c r="A25" s="16" t="s">
        <x:v>1180</x:v>
      </x:c>
      <x:c r="B25" s="13" t="s">
        <x:v>171</x:v>
      </x:c>
      <x:c r="C25" s="13" t="s">
        <x:v>1181</x:v>
      </x:c>
      <x:c r="D25" s="13" t="s">
        <x:v>1182</x:v>
      </x:c>
      <x:c r="E25" s="13" t="s">
        <x:v>188</x:v>
      </x:c>
      <x:c r="F25" s="17" t="s">
        <x:v>5</x:v>
      </x:c>
    </x:row>
    <x:row r="26">
      <x:c r="A26" s="16" t="s">
        <x:v>1183</x:v>
      </x:c>
      <x:c r="B26" s="13" t="s">
        <x:v>1184</x:v>
      </x:c>
      <x:c r="C26" s="13" t="s">
        <x:v>1185</x:v>
      </x:c>
      <x:c r="D26" s="13" t="s">
        <x:v>1186</x:v>
      </x:c>
      <x:c r="E26" s="13" t="s">
        <x:v>185</x:v>
      </x:c>
      <x:c r="F26" s="17" t="s">
        <x:v>5</x:v>
      </x:c>
    </x:row>
    <x:row r="27" ht="46.5">
      <x:c r="A27" s="16" t="s">
        <x:v>1187</x:v>
      </x:c>
      <x:c r="B27" s="13" t="s">
        <x:v>548</x:v>
      </x:c>
      <x:c r="C27" s="13" t="s">
        <x:v>1188</x:v>
      </x:c>
      <x:c r="D27" s="13" t="s">
        <x:v>1189</x:v>
      </x:c>
      <x:c r="E27" s="13" t="s">
        <x:v>249</x:v>
      </x:c>
      <x:c r="F27" s="17" t="s">
        <x:v>5</x:v>
      </x:c>
    </x:row>
    <x:row r="28" ht="46.5">
      <x:c r="A28" s="16" t="s">
        <x:v>1190</x:v>
      </x:c>
      <x:c r="B28" s="13" t="s">
        <x:v>1191</x:v>
      </x:c>
      <x:c r="C28" s="13" t="s">
        <x:v>1192</x:v>
      </x:c>
      <x:c r="D28" s="13" t="s">
        <x:v>1193</x:v>
      </x:c>
      <x:c r="E28" s="13" t="s">
        <x:v>188</x:v>
      </x:c>
      <x:c r="F28" s="17" t="s">
        <x:v>5</x:v>
      </x:c>
    </x:row>
    <x:row r="29" ht="46.5">
      <x:c r="A29" s="16" t="s">
        <x:v>1194</x:v>
      </x:c>
      <x:c r="B29" s="13" t="s">
        <x:v>1195</x:v>
      </x:c>
      <x:c r="C29" s="13" t="s">
        <x:v>1177</x:v>
      </x:c>
      <x:c r="D29" s="13" t="s">
        <x:v>1196</x:v>
      </x:c>
      <x:c r="E29" s="13" t="s">
        <x:v>185</x:v>
      </x:c>
      <x:c r="F29" s="17" t="s">
        <x:v>5</x:v>
      </x:c>
    </x:row>
    <x:row r="30" ht="46.5">
      <x:c r="A30" s="16" t="s">
        <x:v>1197</x:v>
      </x:c>
      <x:c r="B30" s="13" t="s">
        <x:v>171</x:v>
      </x:c>
      <x:c r="C30" s="13" t="s">
        <x:v>1198</x:v>
      </x:c>
      <x:c r="D30" s="13" t="s">
        <x:v>1199</x:v>
      </x:c>
      <x:c r="E30" s="13" t="s">
        <x:v>188</x:v>
      </x:c>
      <x:c r="F30" s="17" t="s">
        <x:v>5</x:v>
      </x:c>
    </x:row>
  </x:sheetData>
  <x:mergeCells>
    <x:mergeCell ref="A1:I1"/>
    <x:mergeCell ref="E2:F2"/>
    <x:mergeCell ref="B3:C3"/>
    <x:mergeCell ref="F3:I3"/>
    <x:mergeCell ref="B4:C4"/>
    <x:mergeCell ref="F4:I4"/>
    <x:mergeCell ref="B15:D15"/>
    <x:mergeCell ref="B5:C5"/>
    <x:mergeCell ref="F5:I5"/>
    <x:mergeCell ref="B6:C6"/>
    <x:mergeCell ref="F6:I6"/>
    <x:mergeCell ref="B7:C7"/>
    <x:mergeCell ref="F7:I7"/>
    <x:mergeCell ref="F8:I8"/>
    <x:mergeCell ref="F9:I9"/>
    <x:mergeCell ref="A11:I11"/>
    <x:mergeCell ref="B13:D13"/>
    <x:mergeCell ref="B14:D14"/>
    <x:mergeCell ref="B16:I16"/>
    <x:mergeCell ref="B17:I17"/>
    <x:mergeCell ref="A19:A20"/>
    <x:mergeCell ref="B19:C19"/>
    <x:mergeCell ref="D19:D20"/>
    <x:mergeCell ref="E19:E20"/>
    <x:mergeCell ref="F19:F20"/>
  </x:mergeCells>
  <x:conditionalFormatting sqref="F21:F30">
    <x:cfRule type="cellIs" dxfId="50" priority="1" operator="equal">
      <x:formula>"Pass"</x:formula>
    </x:cfRule>
    <x:cfRule type="cellIs" dxfId="49" priority="2" operator="equal">
      <x:formula>"Fail"</x:formula>
    </x:cfRule>
    <x:cfRule type="cellIs" dxfId="48" priority="3" operator="equal">
      <x:formula>"Block"</x:formula>
    </x:cfRule>
  </x:conditionalFormatting>
  <x:dataValidations count="1">
    <x:dataValidation type="list" allowBlank="1" sqref="F21:F30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3" width="17.5" style="8" customWidth="1"/>
    <x:col min="4" max="4" width="43.75" style="8" customWidth="1"/>
    <x:col min="5" max="5" width="15.75" style="8" customWidth="1"/>
    <x:col min="6" max="6" width="18.25" style="8" customWidth="1"/>
    <x:col min="7" max="8" width="7.625" style="8" customWidth="0"/>
    <x:col min="9" max="9" width="8.75" style="8" customWidth="1"/>
    <x:col min="10" max="10" width="19.25" style="8" customWidth="1"/>
    <x:col min="11" max="16384" width="7.625" style="8" customWidth="0"/>
  </x:cols>
  <x:sheetData>
    <x:row r="1">
      <x:c r="A1" s="30" t="s">
        <x:v>143</x:v>
      </x:c>
      <x:c r="B1" s="30"/>
      <x:c r="C1" s="30"/>
      <x:c r="D1" s="30"/>
      <x:c r="E1" s="30"/>
      <x:c r="F1" s="30"/>
      <x:c r="I1" s="13"/>
      <x:c r="J1" s="15" t="s">
        <x:v>1200</x:v>
      </x:c>
    </x:row>
    <x:row r="2" ht="46.5">
      <x:c r="I2" s="17" t="s">
        <x:v>499</x:v>
      </x:c>
      <x:c r="J2" s="17" t="s">
        <x:v>1201</x:v>
      </x:c>
    </x:row>
    <x:row r="3">
      <x:c r="A3" s="12" t="s">
        <x:v>144</x:v>
      </x:c>
      <x:c r="B3" s="28" t="s">
        <x:v>1202</x:v>
      </x:c>
      <x:c r="C3" s="28"/>
      <x:c r="D3" s="28"/>
      <x:c r="E3" s="12" t="s">
        <x:v>146</x:v>
      </x:c>
      <x:c r="F3" s="14" t="s">
        <x:v>147</x:v>
      </x:c>
      <x:c r="I3" s="17" t="s">
        <x:v>362</x:v>
      </x:c>
      <x:c r="J3" s="17" t="s">
        <x:v>194</x:v>
      </x:c>
    </x:row>
    <x:row r="4">
      <x:c r="A4" s="12" t="s">
        <x:v>148</x:v>
      </x:c>
      <x:c r="B4" s="28" t="s">
        <x:v>369</x:v>
      </x:c>
      <x:c r="C4" s="28"/>
      <x:c r="D4" s="28"/>
      <x:c r="E4" s="12" t="s">
        <x:v>150</x:v>
      </x:c>
      <x:c r="F4" s="14" t="s">
        <x:v>78</x:v>
      </x:c>
      <x:c r="I4" s="17" t="s">
        <x:v>366</x:v>
      </x:c>
      <x:c r="J4" s="17" t="s">
        <x:v>294</x:v>
      </x:c>
    </x:row>
    <x:row r="5" ht="46.5">
      <x:c r="A5" s="12" t="s">
        <x:v>151</x:v>
      </x:c>
      <x:c r="B5" s="28" t="s">
        <x:v>152</x:v>
      </x:c>
      <x:c r="C5" s="28"/>
      <x:c r="D5" s="28"/>
      <x:c r="E5" s="12" t="s">
        <x:v>153</x:v>
      </x:c>
      <x:c r="F5" s="13" t="s">
        <x:v>77</x:v>
      </x:c>
      <x:c r="I5" s="17" t="s">
        <x:v>370</x:v>
      </x:c>
      <x:c r="J5" s="17" t="s">
        <x:v>290</x:v>
      </x:c>
    </x:row>
    <x:row r="6" ht="46.5">
      <x:c r="A6" s="12" t="s">
        <x:v>154</x:v>
      </x:c>
      <x:c r="B6" s="28" t="s">
        <x:v>1203</x:v>
      </x:c>
      <x:c r="C6" s="28"/>
      <x:c r="D6" s="28"/>
      <x:c r="E6" s="28"/>
      <x:c r="F6" s="28"/>
      <x:c r="I6" s="17" t="s">
        <x:v>299</x:v>
      </x:c>
      <x:c r="J6" s="17" t="s">
        <x:v>458</x:v>
      </x:c>
    </x:row>
    <x:row r="7" ht="46.5">
      <x:c r="A7" s="12" t="s">
        <x:v>156</x:v>
      </x:c>
      <x:c r="B7" s="28" t="s">
        <x:v>1204</x:v>
      </x:c>
      <x:c r="C7" s="28"/>
      <x:c r="D7" s="28"/>
      <x:c r="E7" s="28"/>
      <x:c r="F7" s="28"/>
    </x:row>
    <x:row r="9">
      <x:c r="A9" s="29" t="s">
        <x:v>158</x:v>
      </x:c>
      <x:c r="B9" s="29" t="s">
        <x:v>159</x:v>
      </x:c>
      <x:c r="C9" s="29"/>
      <x:c r="D9" s="29" t="s">
        <x:v>160</x:v>
      </x:c>
      <x:c r="E9" s="29" t="s">
        <x:v>161</x:v>
      </x:c>
      <x:c r="F9" s="29" t="s">
        <x:v>162</x:v>
      </x:c>
    </x:row>
    <x:row r="10">
      <x:c r="A10" s="29"/>
      <x:c r="B10" s="15" t="s">
        <x:v>1205</x:v>
      </x:c>
      <x:c r="C10" s="15" t="s">
        <x:v>1200</x:v>
      </x:c>
      <x:c r="D10" s="29"/>
      <x:c r="E10" s="29"/>
      <x:c r="F10" s="29"/>
    </x:row>
    <x:row r="11" ht="46.5">
      <x:c r="A11" s="16" t="s">
        <x:v>1206</x:v>
      </x:c>
      <x:c r="B11" s="13" t="s">
        <x:v>1207</x:v>
      </x:c>
      <x:c r="C11" s="13" t="s">
        <x:v>458</x:v>
      </x:c>
      <x:c r="D11" s="13" t="s">
        <x:v>1208</x:v>
      </x:c>
      <x:c r="E11" s="13" t="s">
        <x:v>1209</x:v>
      </x:c>
      <x:c r="F11" s="17" t="s">
        <x:v>5</x:v>
      </x:c>
    </x:row>
    <x:row r="12" ht="46.5">
      <x:c r="A12" s="16" t="s">
        <x:v>1210</x:v>
      </x:c>
      <x:c r="B12" s="13" t="s">
        <x:v>1211</x:v>
      </x:c>
      <x:c r="C12" s="13" t="s">
        <x:v>194</x:v>
      </x:c>
      <x:c r="D12" s="13" t="s">
        <x:v>1212</x:v>
      </x:c>
      <x:c r="E12" s="13" t="s">
        <x:v>188</x:v>
      </x:c>
      <x:c r="F12" s="17" t="s">
        <x:v>5</x:v>
      </x:c>
    </x:row>
    <x:row r="13">
      <x:c r="A13" s="16" t="s">
        <x:v>1213</x:v>
      </x:c>
      <x:c r="B13" s="13" t="s">
        <x:v>1214</x:v>
      </x:c>
      <x:c r="C13" s="13" t="s">
        <x:v>294</x:v>
      </x:c>
      <x:c r="D13" s="13" t="s">
        <x:v>1209</x:v>
      </x:c>
      <x:c r="E13" s="13" t="s">
        <x:v>1209</x:v>
      </x:c>
      <x:c r="F13" s="17" t="s">
        <x:v>5</x:v>
      </x:c>
    </x:row>
    <x:row r="14">
      <x:c r="A14" s="16" t="s">
        <x:v>1215</x:v>
      </x:c>
      <x:c r="B14" s="13" t="s">
        <x:v>1216</x:v>
      </x:c>
      <x:c r="C14" s="13" t="s">
        <x:v>290</x:v>
      </x:c>
      <x:c r="D14" s="13" t="s">
        <x:v>1209</x:v>
      </x:c>
      <x:c r="E14" s="13" t="s">
        <x:v>1209</x:v>
      </x:c>
      <x:c r="F14" s="17" t="s">
        <x:v>5</x:v>
      </x:c>
    </x:row>
    <x:row r="15" ht="46.5">
      <x:c r="A15" s="16" t="s">
        <x:v>1217</x:v>
      </x:c>
      <x:c r="B15" s="13" t="s">
        <x:v>1218</x:v>
      </x:c>
      <x:c r="C15" s="13" t="s">
        <x:v>1201</x:v>
      </x:c>
      <x:c r="D15" s="13" t="s">
        <x:v>1219</x:v>
      </x:c>
      <x:c r="E15" s="13" t="s">
        <x:v>188</x:v>
      </x:c>
      <x:c r="F15" s="17" t="s">
        <x:v>5</x:v>
      </x:c>
    </x:row>
    <x:row r="16" ht="46.5">
      <x:c r="A16" s="16" t="s">
        <x:v>1220</x:v>
      </x:c>
      <x:c r="B16" s="13" t="s">
        <x:v>1221</x:v>
      </x:c>
      <x:c r="C16" s="13" t="s">
        <x:v>1222</x:v>
      </x:c>
      <x:c r="D16" s="13" t="s">
        <x:v>1223</x:v>
      </x:c>
      <x:c r="E16" s="13" t="s">
        <x:v>1209</x:v>
      </x:c>
      <x:c r="F16" s="17" t="s">
        <x:v>5</x:v>
      </x:c>
    </x:row>
  </x:sheetData>
  <x:mergeCells>
    <x:mergeCell ref="A1:F1"/>
    <x:mergeCell ref="B3:D3"/>
    <x:mergeCell ref="B4:D4"/>
    <x:mergeCell ref="B5:D5"/>
    <x:mergeCell ref="B6:F6"/>
    <x:mergeCell ref="B7:F7"/>
    <x:mergeCell ref="A9:A10"/>
    <x:mergeCell ref="B9:C9"/>
    <x:mergeCell ref="D9:D10"/>
    <x:mergeCell ref="E9:E10"/>
    <x:mergeCell ref="F9:F10"/>
  </x:mergeCells>
  <x:conditionalFormatting sqref="F11:F16">
    <x:cfRule type="cellIs" dxfId="47" priority="1" operator="equal">
      <x:formula>"Pass"</x:formula>
    </x:cfRule>
    <x:cfRule type="cellIs" dxfId="46" priority="2" operator="equal">
      <x:formula>"Fail"</x:formula>
    </x:cfRule>
    <x:cfRule type="cellIs" dxfId="45" priority="3" operator="equal">
      <x:formula>"Block"</x:formula>
    </x:cfRule>
  </x:conditionalFormatting>
  <x:dataValidations count="1">
    <x:dataValidation type="list" allowBlank="1" sqref="F11:F16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ColWidth="7.625" defaultRowHeight="23.25"/>
  <x:cols>
    <x:col min="1" max="3" width="19.25" style="8" customWidth="1"/>
    <x:col min="4" max="4" width="40.25" style="8" customWidth="1"/>
    <x:col min="5" max="5" width="31.25" style="8" customWidth="1"/>
    <x:col min="6" max="6" width="14.875" style="8" customWidth="1"/>
    <x:col min="7" max="8" width="12.25" style="8" customWidth="1"/>
    <x:col min="9" max="9" width="19" style="8" customWidth="1"/>
    <x:col min="10" max="16384" width="7.625" style="8" customWidth="0"/>
  </x:cols>
  <x:sheetData>
    <x:row r="1" ht="24">
      <x:c r="A1" s="32" t="s">
        <x:v>100</x:v>
      </x:c>
      <x:c r="B1" s="32"/>
      <x:c r="C1" s="32"/>
      <x:c r="D1" s="32"/>
      <x:c r="E1" s="32"/>
      <x:c r="F1" s="32"/>
      <x:c r="G1" s="32"/>
      <x:c r="H1" s="32"/>
      <x:c r="I1" s="32"/>
    </x:row>
    <x:row r="2" ht="24">
      <x:c r="A2" s="9" t="s">
        <x:v>101</x:v>
      </x:c>
      <x:c r="E2" s="33" t="s">
        <x:v>102</x:v>
      </x:c>
      <x:c r="F2" s="33"/>
    </x:row>
    <x:row r="3" ht="24">
      <x:c r="A3" s="10" t="s">
        <x:v>103</x:v>
      </x:c>
      <x:c r="B3" s="34" t="s">
        <x:v>104</x:v>
      </x:c>
      <x:c r="C3" s="34"/>
      <x:c r="E3" s="10" t="s">
        <x:v>103</x:v>
      </x:c>
      <x:c r="F3" s="34" t="s">
        <x:v>104</x:v>
      </x:c>
      <x:c r="G3" s="34"/>
      <x:c r="H3" s="34"/>
      <x:c r="I3" s="34"/>
    </x:row>
    <x:row r="4" ht="24">
      <x:c r="A4" s="11" t="s">
        <x:v>105</x:v>
      </x:c>
      <x:c r="B4" s="31" t="s">
        <x:v>1224</x:v>
      </x:c>
      <x:c r="C4" s="31"/>
      <x:c r="E4" s="11" t="s">
        <x:v>107</x:v>
      </x:c>
      <x:c r="F4" s="31" t="s">
        <x:v>886</x:v>
      </x:c>
      <x:c r="G4" s="31"/>
      <x:c r="H4" s="31"/>
      <x:c r="I4" s="31"/>
    </x:row>
    <x:row r="5" ht="24">
      <x:c r="A5" s="11" t="s">
        <x:v>109</x:v>
      </x:c>
      <x:c r="B5" s="31" t="s">
        <x:v>1225</x:v>
      </x:c>
      <x:c r="C5" s="31"/>
      <x:c r="E5" s="11" t="s">
        <x:v>111</x:v>
      </x:c>
      <x:c r="F5" s="31" t="s">
        <x:v>1226</x:v>
      </x:c>
      <x:c r="G5" s="31"/>
      <x:c r="H5" s="31"/>
      <x:c r="I5" s="31"/>
    </x:row>
    <x:row r="6" ht="24">
      <x:c r="A6" s="11" t="s">
        <x:v>113</x:v>
      </x:c>
      <x:c r="B6" s="31" t="s">
        <x:v>1227</x:v>
      </x:c>
      <x:c r="C6" s="31"/>
      <x:c r="E6" s="11" t="s">
        <x:v>115</x:v>
      </x:c>
      <x:c r="F6" s="31" t="s">
        <x:v>1228</x:v>
      </x:c>
      <x:c r="G6" s="31"/>
      <x:c r="H6" s="31"/>
      <x:c r="I6" s="31"/>
    </x:row>
    <x:row r="7" ht="24">
      <x:c r="A7" s="11" t="s">
        <x:v>117</x:v>
      </x:c>
      <x:c r="B7" s="31" t="s">
        <x:v>1229</x:v>
      </x:c>
      <x:c r="C7" s="31"/>
      <x:c r="E7" s="11" t="s">
        <x:v>119</x:v>
      </x:c>
      <x:c r="F7" s="31" t="s">
        <x:v>1230</x:v>
      </x:c>
      <x:c r="G7" s="31"/>
      <x:c r="H7" s="31"/>
      <x:c r="I7" s="31"/>
    </x:row>
    <x:row r="8" ht="24">
      <x:c r="A8" s="11" t="s">
        <x:v>121</x:v>
      </x:c>
      <x:c r="B8" s="31" t="s">
        <x:v>1231</x:v>
      </x:c>
      <x:c r="C8" s="31"/>
    </x:row>
    <x:row r="9" ht="24">
      <x:c r="A9" s="11" t="s">
        <x:v>125</x:v>
      </x:c>
      <x:c r="B9" s="31" t="s">
        <x:v>1232</x:v>
      </x:c>
      <x:c r="C9" s="31"/>
    </x:row>
    <x:row r="11">
      <x:c r="A11" s="30" t="s">
        <x:v>143</x:v>
      </x:c>
      <x:c r="B11" s="30"/>
      <x:c r="C11" s="30"/>
      <x:c r="D11" s="30"/>
      <x:c r="E11" s="30"/>
      <x:c r="F11" s="30"/>
      <x:c r="G11" s="30"/>
      <x:c r="H11" s="30"/>
      <x:c r="I11" s="30"/>
    </x:row>
    <x:row r="13">
      <x:c r="A13" s="12" t="s">
        <x:v>144</x:v>
      </x:c>
      <x:c r="B13" s="28" t="s">
        <x:v>1233</x:v>
      </x:c>
      <x:c r="C13" s="28"/>
      <x:c r="D13" s="28"/>
      <x:c r="E13" s="21"/>
      <x:c r="F13" s="21"/>
      <x:c r="G13" s="21"/>
      <x:c r="H13" s="12" t="s">
        <x:v>146</x:v>
      </x:c>
      <x:c r="I13" s="14" t="s">
        <x:v>147</x:v>
      </x:c>
    </x:row>
    <x:row r="14">
      <x:c r="A14" s="12" t="s">
        <x:v>148</x:v>
      </x:c>
      <x:c r="B14" s="28" t="s">
        <x:v>149</x:v>
      </x:c>
      <x:c r="C14" s="28"/>
      <x:c r="D14" s="28"/>
      <x:c r="E14" s="21"/>
      <x:c r="F14" s="21"/>
      <x:c r="G14" s="21"/>
      <x:c r="H14" s="12" t="s">
        <x:v>150</x:v>
      </x:c>
      <x:c r="I14" s="14" t="s">
        <x:v>78</x:v>
      </x:c>
    </x:row>
    <x:row r="15" ht="46.5">
      <x:c r="A15" s="12" t="s">
        <x:v>151</x:v>
      </x:c>
      <x:c r="B15" s="28" t="s">
        <x:v>152</x:v>
      </x:c>
      <x:c r="C15" s="28"/>
      <x:c r="D15" s="28"/>
      <x:c r="E15" s="21"/>
      <x:c r="F15" s="21"/>
      <x:c r="G15" s="21"/>
      <x:c r="H15" s="12" t="s">
        <x:v>153</x:v>
      </x:c>
      <x:c r="I15" s="13" t="s">
        <x:v>77</x:v>
      </x:c>
    </x:row>
    <x:row r="16" ht="46.5">
      <x:c r="A16" s="12" t="s">
        <x:v>154</x:v>
      </x:c>
      <x:c r="B16" s="28" t="s">
        <x:v>1234</x:v>
      </x:c>
      <x:c r="C16" s="28"/>
      <x:c r="D16" s="28"/>
      <x:c r="E16" s="28"/>
      <x:c r="F16" s="28"/>
      <x:c r="G16" s="28"/>
      <x:c r="H16" s="28"/>
      <x:c r="I16" s="28"/>
    </x:row>
    <x:row r="17" ht="46.5">
      <x:c r="A17" s="12" t="s">
        <x:v>156</x:v>
      </x:c>
      <x:c r="B17" s="28" t="s">
        <x:v>1235</x:v>
      </x:c>
      <x:c r="C17" s="28"/>
      <x:c r="D17" s="28"/>
      <x:c r="E17" s="28"/>
      <x:c r="F17" s="28"/>
      <x:c r="G17" s="28"/>
      <x:c r="H17" s="28"/>
      <x:c r="I17" s="28"/>
    </x:row>
    <x:row r="19">
      <x:c r="A19" s="29" t="s">
        <x:v>158</x:v>
      </x:c>
      <x:c r="B19" s="29" t="s">
        <x:v>159</x:v>
      </x:c>
      <x:c r="C19" s="29"/>
      <x:c r="D19" s="29" t="s">
        <x:v>160</x:v>
      </x:c>
      <x:c r="E19" s="29" t="s">
        <x:v>161</x:v>
      </x:c>
      <x:c r="F19" s="29" t="s">
        <x:v>162</x:v>
      </x:c>
    </x:row>
    <x:row r="20">
      <x:c r="A20" s="29"/>
      <x:c r="B20" s="15" t="s">
        <x:v>830</x:v>
      </x:c>
      <x:c r="C20" s="15" t="s">
        <x:v>1236</x:v>
      </x:c>
      <x:c r="D20" s="29"/>
      <x:c r="E20" s="29"/>
      <x:c r="F20" s="29"/>
    </x:row>
    <x:row r="21" ht="46.5">
      <x:c r="A21" s="16" t="s">
        <x:v>1237</x:v>
      </x:c>
      <x:c r="B21" s="13" t="s">
        <x:v>1238</x:v>
      </x:c>
      <x:c r="C21" s="13" t="s">
        <x:v>1239</x:v>
      </x:c>
      <x:c r="D21" s="13" t="s">
        <x:v>1240</x:v>
      </x:c>
      <x:c r="E21" s="13" t="s">
        <x:v>1241</x:v>
      </x:c>
      <x:c r="F21" s="17" t="s">
        <x:v>5</x:v>
      </x:c>
    </x:row>
    <x:row r="22" ht="46.5">
      <x:c r="A22" s="16" t="s">
        <x:v>1242</x:v>
      </x:c>
      <x:c r="B22" s="13" t="s">
        <x:v>1238</x:v>
      </x:c>
      <x:c r="C22" s="13" t="s">
        <x:v>1243</x:v>
      </x:c>
      <x:c r="D22" s="13" t="s">
        <x:v>1244</x:v>
      </x:c>
      <x:c r="E22" s="13" t="s">
        <x:v>1245</x:v>
      </x:c>
      <x:c r="F22" s="17" t="s">
        <x:v>5</x:v>
      </x:c>
    </x:row>
    <x:row r="23" ht="46.5">
      <x:c r="A23" s="16" t="s">
        <x:v>1246</x:v>
      </x:c>
      <x:c r="B23" s="13" t="s">
        <x:v>1238</x:v>
      </x:c>
      <x:c r="C23" s="13" t="s">
        <x:v>1247</x:v>
      </x:c>
      <x:c r="D23" s="13" t="s">
        <x:v>1248</x:v>
      </x:c>
      <x:c r="E23" s="13" t="s">
        <x:v>1249</x:v>
      </x:c>
      <x:c r="F23" s="17" t="s">
        <x:v>5</x:v>
      </x:c>
    </x:row>
    <x:row r="24" ht="46.5">
      <x:c r="A24" s="16" t="s">
        <x:v>1250</x:v>
      </x:c>
      <x:c r="B24" s="13" t="s">
        <x:v>1251</x:v>
      </x:c>
      <x:c r="C24" s="13" t="s">
        <x:v>1252</x:v>
      </x:c>
      <x:c r="D24" s="13" t="s">
        <x:v>1253</x:v>
      </x:c>
      <x:c r="E24" s="13" t="s">
        <x:v>1254</x:v>
      </x:c>
      <x:c r="F24" s="17" t="s">
        <x:v>5</x:v>
      </x:c>
    </x:row>
    <x:row r="25" ht="46.5">
      <x:c r="A25" s="16" t="s">
        <x:v>1255</x:v>
      </x:c>
      <x:c r="B25" s="13" t="s">
        <x:v>1251</x:v>
      </x:c>
      <x:c r="C25" s="13" t="s">
        <x:v>1256</x:v>
      </x:c>
      <x:c r="D25" s="13" t="s">
        <x:v>1257</x:v>
      </x:c>
      <x:c r="E25" s="13" t="s">
        <x:v>1258</x:v>
      </x:c>
      <x:c r="F25" s="17" t="s">
        <x:v>5</x:v>
      </x:c>
    </x:row>
    <x:row r="26" ht="69.75">
      <x:c r="A26" s="16" t="s">
        <x:v>1259</x:v>
      </x:c>
      <x:c r="B26" s="13" t="s">
        <x:v>1251</x:v>
      </x:c>
      <x:c r="C26" s="13" t="s">
        <x:v>1260</x:v>
      </x:c>
      <x:c r="D26" s="13" t="s">
        <x:v>1261</x:v>
      </x:c>
      <x:c r="E26" s="13" t="s">
        <x:v>1262</x:v>
      </x:c>
      <x:c r="F26" s="17" t="s">
        <x:v>5</x:v>
      </x:c>
    </x:row>
    <x:row r="27" ht="46.5">
      <x:c r="A27" s="16" t="s">
        <x:v>1263</x:v>
      </x:c>
      <x:c r="B27" s="13" t="s">
        <x:v>1264</x:v>
      </x:c>
      <x:c r="C27" s="13" t="s">
        <x:v>1265</x:v>
      </x:c>
      <x:c r="D27" s="13" t="s">
        <x:v>810</x:v>
      </x:c>
      <x:c r="E27" s="13" t="s">
        <x:v>185</x:v>
      </x:c>
      <x:c r="F27" s="17" t="s">
        <x:v>5</x:v>
      </x:c>
    </x:row>
    <x:row r="28" ht="46.5">
      <x:c r="A28" s="16" t="s">
        <x:v>1266</x:v>
      </x:c>
      <x:c r="B28" s="13" t="s">
        <x:v>1238</x:v>
      </x:c>
      <x:c r="C28" s="13" t="s">
        <x:v>548</x:v>
      </x:c>
      <x:c r="D28" s="13" t="s">
        <x:v>1267</x:v>
      </x:c>
      <x:c r="E28" s="13" t="s">
        <x:v>188</x:v>
      </x:c>
      <x:c r="F28" s="17" t="s">
        <x:v>5</x:v>
      </x:c>
    </x:row>
    <x:row r="29" ht="46.5">
      <x:c r="A29" s="16" t="s">
        <x:v>1268</x:v>
      </x:c>
      <x:c r="B29" s="13" t="s">
        <x:v>1251</x:v>
      </x:c>
      <x:c r="C29" s="13" t="s">
        <x:v>1224</x:v>
      </x:c>
      <x:c r="D29" s="13" t="s">
        <x:v>1269</x:v>
      </x:c>
      <x:c r="E29" s="13" t="s">
        <x:v>188</x:v>
      </x:c>
      <x:c r="F29" s="17" t="s">
        <x:v>5</x:v>
      </x:c>
    </x:row>
    <x:row r="30">
      <x:c r="A30" s="16" t="s">
        <x:v>1270</x:v>
      </x:c>
      <x:c r="B30" s="13" t="s">
        <x:v>1271</x:v>
      </x:c>
      <x:c r="C30" s="13" t="s">
        <x:v>1272</x:v>
      </x:c>
      <x:c r="D30" s="13" t="s">
        <x:v>1273</x:v>
      </x:c>
      <x:c r="E30" s="13" t="s">
        <x:v>185</x:v>
      </x:c>
      <x:c r="F30" s="17" t="s">
        <x:v>5</x:v>
      </x:c>
    </x:row>
  </x:sheetData>
  <x:mergeCells>
    <x:mergeCell ref="A1:I1"/>
    <x:mergeCell ref="E2:F2"/>
    <x:mergeCell ref="B3:C3"/>
    <x:mergeCell ref="F3:I3"/>
    <x:mergeCell ref="B4:C4"/>
    <x:mergeCell ref="F4:I4"/>
    <x:mergeCell ref="B15:D15"/>
    <x:mergeCell ref="B5:C5"/>
    <x:mergeCell ref="F5:I5"/>
    <x:mergeCell ref="B6:C6"/>
    <x:mergeCell ref="F6:I6"/>
    <x:mergeCell ref="B7:C7"/>
    <x:mergeCell ref="F7:I7"/>
    <x:mergeCell ref="B8:C8"/>
    <x:mergeCell ref="B9:C9"/>
    <x:mergeCell ref="A11:I11"/>
    <x:mergeCell ref="B13:D13"/>
    <x:mergeCell ref="B14:D14"/>
    <x:mergeCell ref="B16:I16"/>
    <x:mergeCell ref="B17:I17"/>
    <x:mergeCell ref="A19:A20"/>
    <x:mergeCell ref="B19:C19"/>
    <x:mergeCell ref="D19:D20"/>
    <x:mergeCell ref="E19:E20"/>
    <x:mergeCell ref="F19:F20"/>
  </x:mergeCells>
  <x:conditionalFormatting sqref="F21:F30">
    <x:cfRule type="cellIs" dxfId="44" priority="1" operator="equal">
      <x:formula>"Pass"</x:formula>
    </x:cfRule>
    <x:cfRule type="cellIs" dxfId="43" priority="2" operator="equal">
      <x:formula>"Fail"</x:formula>
    </x:cfRule>
    <x:cfRule type="cellIs" dxfId="42" priority="3" operator="equal">
      <x:formula>"Block"</x:formula>
    </x:cfRule>
  </x:conditionalFormatting>
  <x:dataValidations count="1">
    <x:dataValidation type="list" allowBlank="1" sqref="F21:F30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ColWidth="7.625" defaultRowHeight="23.25"/>
  <x:cols>
    <x:col min="1" max="1" width="29.75" style="8" customWidth="1"/>
    <x:col min="2" max="4" width="14" style="8" customWidth="1"/>
    <x:col min="5" max="5" width="42" style="8" customWidth="1"/>
    <x:col min="6" max="6" width="32.75" style="8" customWidth="1"/>
    <x:col min="7" max="7" width="17.25" style="8" customWidth="1"/>
    <x:col min="8" max="16384" width="7.625" style="8" customWidth="0"/>
  </x:cols>
  <x:sheetData>
    <x:row r="1">
      <x:c r="A1" s="23" t="s">
        <x:v>423</x:v>
      </x:c>
    </x:row>
    <x:row r="2" ht="22.5" customHeight="1">
      <x:c r="A2" s="39" t="s">
        <x:v>1274</x:v>
      </x:c>
      <x:c r="B2" s="39"/>
      <x:c r="C2" s="39"/>
      <x:c r="D2" s="39"/>
      <x:c r="E2" s="39"/>
      <x:c r="F2" s="39"/>
      <x:c r="G2" s="39"/>
    </x:row>
    <x:row r="3" ht="22.5" customHeight="1">
      <x:c r="A3" s="39" t="s">
        <x:v>1275</x:v>
      </x:c>
      <x:c r="B3" s="39"/>
      <x:c r="C3" s="39"/>
      <x:c r="D3" s="39"/>
      <x:c r="E3" s="39"/>
      <x:c r="F3" s="39"/>
      <x:c r="G3" s="39"/>
    </x:row>
    <x:row r="5">
      <x:c r="A5" s="18" t="s">
        <x:v>104</x:v>
      </x:c>
      <x:c r="B5" s="19" t="s">
        <x:v>212</x:v>
      </x:c>
      <x:c r="C5" s="19" t="s">
        <x:v>213</x:v>
      </x:c>
      <x:c r="D5" s="19" t="s">
        <x:v>214</x:v>
      </x:c>
      <x:c r="E5" s="19" t="s">
        <x:v>215</x:v>
      </x:c>
      <x:c r="F5" s="19" t="s">
        <x:v>216</x:v>
      </x:c>
    </x:row>
    <x:row r="6" ht="22.5" customHeight="1">
      <x:c r="A6" s="13" t="s">
        <x:v>547</x:v>
      </x:c>
      <x:c r="B6" s="17" t="s">
        <x:v>1276</x:v>
      </x:c>
      <x:c r="C6" s="17" t="s">
        <x:v>1277</x:v>
      </x:c>
      <x:c r="D6" s="17" t="s">
        <x:v>551</x:v>
      </x:c>
      <x:c r="E6" s="17" t="s">
        <x:v>478</x:v>
      </x:c>
      <x:c r="F6" s="17" t="s">
        <x:v>471</x:v>
      </x:c>
    </x:row>
    <x:row r="7" ht="22.5" customHeight="1">
      <x:c r="A7" s="13" t="s">
        <x:v>1278</x:v>
      </x:c>
      <x:c r="B7" s="17" t="s">
        <x:v>1279</x:v>
      </x:c>
      <x:c r="C7" s="17" t="s">
        <x:v>555</x:v>
      </x:c>
      <x:c r="D7" s="17" t="s">
        <x:v>555</x:v>
      </x:c>
      <x:c r="E7" s="17" t="s">
        <x:v>555</x:v>
      </x:c>
      <x:c r="F7" s="17" t="s">
        <x:v>555</x:v>
      </x:c>
    </x:row>
    <x:row r="8" ht="22.5" customHeight="1">
      <x:c r="A8" s="13" t="s">
        <x:v>1280</x:v>
      </x:c>
      <x:c r="B8" s="17" t="s">
        <x:v>1281</x:v>
      </x:c>
      <x:c r="C8" s="17" t="s">
        <x:v>1279</x:v>
      </x:c>
      <x:c r="D8" s="17" t="s">
        <x:v>555</x:v>
      </x:c>
      <x:c r="E8" s="17" t="s">
        <x:v>555</x:v>
      </x:c>
      <x:c r="F8" s="17" t="s">
        <x:v>555</x:v>
      </x:c>
    </x:row>
    <x:row r="9" ht="22.5" customHeight="1">
      <x:c r="A9" s="13" t="s">
        <x:v>1282</x:v>
      </x:c>
      <x:c r="B9" s="17" t="s">
        <x:v>555</x:v>
      </x:c>
      <x:c r="C9" s="17" t="s">
        <x:v>1281</x:v>
      </x:c>
      <x:c r="D9" s="17" t="s">
        <x:v>1279</x:v>
      </x:c>
      <x:c r="E9" s="17" t="s">
        <x:v>555</x:v>
      </x:c>
      <x:c r="F9" s="17" t="s">
        <x:v>555</x:v>
      </x:c>
    </x:row>
    <x:row r="10" ht="22.5" customHeight="1">
      <x:c r="A10" s="13" t="s">
        <x:v>1283</x:v>
      </x:c>
      <x:c r="B10" s="17" t="s">
        <x:v>555</x:v>
      </x:c>
      <x:c r="C10" s="17" t="s">
        <x:v>555</x:v>
      </x:c>
      <x:c r="D10" s="17" t="s">
        <x:v>1281</x:v>
      </x:c>
      <x:c r="E10" s="17" t="s">
        <x:v>1279</x:v>
      </x:c>
      <x:c r="F10" s="17" t="s">
        <x:v>555</x:v>
      </x:c>
    </x:row>
    <x:row r="11" ht="22.5" customHeight="1">
      <x:c r="A11" s="13" t="s">
        <x:v>1284</x:v>
      </x:c>
      <x:c r="B11" s="17" t="s">
        <x:v>1281</x:v>
      </x:c>
      <x:c r="C11" s="17" t="s">
        <x:v>1281</x:v>
      </x:c>
      <x:c r="D11" s="17" t="s">
        <x:v>555</x:v>
      </x:c>
      <x:c r="E11" s="17" t="s">
        <x:v>555</x:v>
      </x:c>
      <x:c r="F11" s="17" t="s">
        <x:v>1279</x:v>
      </x:c>
    </x:row>
    <x:row r="12">
      <x:c r="A12" s="18" t="s">
        <x:v>229</x:v>
      </x:c>
      <x:c r="B12" s="20"/>
      <x:c r="C12" s="20"/>
      <x:c r="D12" s="20"/>
      <x:c r="E12" s="20"/>
      <x:c r="F12" s="20"/>
    </x:row>
    <x:row r="13" ht="22.5" customHeight="1">
      <x:c r="A13" s="13" t="s">
        <x:v>1285</x:v>
      </x:c>
      <x:c r="B13" s="17" t="s">
        <x:v>231</x:v>
      </x:c>
      <x:c r="C13" s="17" t="s">
        <x:v>231</x:v>
      </x:c>
      <x:c r="D13" s="17" t="s">
        <x:v>231</x:v>
      </x:c>
      <x:c r="E13" s="17" t="s">
        <x:v>231</x:v>
      </x:c>
      <x:c r="F13" s="17" t="s">
        <x:v>231</x:v>
      </x:c>
    </x:row>
    <x:row r="14" ht="22.5" customHeight="1">
      <x:c r="A14" s="13" t="s">
        <x:v>1286</x:v>
      </x:c>
      <x:c r="B14" s="17" t="s">
        <x:v>231</x:v>
      </x:c>
      <x:c r="C14" s="17" t="s">
        <x:v>231</x:v>
      </x:c>
      <x:c r="D14" s="17" t="s">
        <x:v>231</x:v>
      </x:c>
      <x:c r="E14" s="17" t="s">
        <x:v>231</x:v>
      </x:c>
      <x:c r="F14" s="17" t="s">
        <x:v>231</x:v>
      </x:c>
    </x:row>
    <x:row r="15" ht="22.5" customHeight="1">
      <x:c r="A15" s="13" t="s">
        <x:v>1287</x:v>
      </x:c>
      <x:c r="B15" s="17" t="s">
        <x:v>231</x:v>
      </x:c>
      <x:c r="C15" s="17" t="s">
        <x:v>231</x:v>
      </x:c>
      <x:c r="D15" s="17" t="s">
        <x:v>231</x:v>
      </x:c>
      <x:c r="E15" s="17" t="s">
        <x:v>231</x:v>
      </x:c>
      <x:c r="F15" s="17" t="s">
        <x:v>231</x:v>
      </x:c>
    </x:row>
    <x:row r="16">
      <x:c r="A16" s="13" t="s">
        <x:v>237</x:v>
      </x:c>
      <x:c r="B16" s="17"/>
      <x:c r="C16" s="17"/>
      <x:c r="D16" s="17"/>
      <x:c r="E16" s="17"/>
      <x:c r="F16" s="17"/>
    </x:row>
    <x:row r="18" ht="20.100000381469727" customHeight="1">
      <x:c r="A18" s="30" t="s">
        <x:v>143</x:v>
      </x:c>
      <x:c r="B18" s="30"/>
      <x:c r="C18" s="30"/>
      <x:c r="D18" s="30"/>
      <x:c r="E18" s="30"/>
      <x:c r="F18" s="30"/>
      <x:c r="G18" s="30"/>
    </x:row>
    <x:row r="20" ht="22.5" customHeight="1">
      <x:c r="A20" s="12" t="s">
        <x:v>144</x:v>
      </x:c>
      <x:c r="B20" s="28" t="s">
        <x:v>1288</x:v>
      </x:c>
      <x:c r="C20" s="28"/>
      <x:c r="D20" s="28"/>
      <x:c r="E20" s="28"/>
      <x:c r="F20" s="12" t="s">
        <x:v>146</x:v>
      </x:c>
      <x:c r="G20" s="14" t="s">
        <x:v>147</x:v>
      </x:c>
    </x:row>
    <x:row r="21" ht="22.5" customHeight="1">
      <x:c r="A21" s="12" t="s">
        <x:v>148</x:v>
      </x:c>
      <x:c r="B21" s="28" t="s">
        <x:v>570</x:v>
      </x:c>
      <x:c r="C21" s="28"/>
      <x:c r="D21" s="28"/>
      <x:c r="E21" s="28"/>
      <x:c r="F21" s="12" t="s">
        <x:v>150</x:v>
      </x:c>
      <x:c r="G21" s="14" t="s">
        <x:v>78</x:v>
      </x:c>
    </x:row>
    <x:row r="22" ht="64.5" customHeight="1">
      <x:c r="A22" s="12" t="s">
        <x:v>151</x:v>
      </x:c>
      <x:c r="B22" s="28" t="s">
        <x:v>152</x:v>
      </x:c>
      <x:c r="C22" s="28"/>
      <x:c r="D22" s="28"/>
      <x:c r="E22" s="28"/>
      <x:c r="F22" s="12" t="s">
        <x:v>153</x:v>
      </x:c>
      <x:c r="G22" s="13" t="s">
        <x:v>77</x:v>
      </x:c>
    </x:row>
    <x:row r="23" ht="22.5" customHeight="1">
      <x:c r="A23" s="12" t="s">
        <x:v>154</x:v>
      </x:c>
      <x:c r="B23" s="28" t="s">
        <x:v>1289</x:v>
      </x:c>
      <x:c r="C23" s="28"/>
      <x:c r="D23" s="28"/>
      <x:c r="E23" s="28"/>
      <x:c r="F23" s="28"/>
      <x:c r="G23" s="28"/>
    </x:row>
    <x:row r="24" ht="22.5" customHeight="1">
      <x:c r="A24" s="12" t="s">
        <x:v>156</x:v>
      </x:c>
      <x:c r="B24" s="28" t="s">
        <x:v>1290</x:v>
      </x:c>
      <x:c r="C24" s="28"/>
      <x:c r="D24" s="28"/>
      <x:c r="E24" s="28"/>
      <x:c r="F24" s="28"/>
      <x:c r="G24" s="28"/>
    </x:row>
    <x:row r="26" ht="24" customHeight="1">
      <x:c r="A26" s="29" t="s">
        <x:v>243</x:v>
      </x:c>
      <x:c r="B26" s="29" t="s">
        <x:v>158</x:v>
      </x:c>
      <x:c r="C26" s="29" t="s">
        <x:v>159</x:v>
      </x:c>
      <x:c r="D26" s="29"/>
      <x:c r="E26" s="29" t="s">
        <x:v>160</x:v>
      </x:c>
      <x:c r="F26" s="29" t="s">
        <x:v>161</x:v>
      </x:c>
      <x:c r="G26" s="29" t="s">
        <x:v>162</x:v>
      </x:c>
    </x:row>
    <x:row r="27" ht="64.5" customHeight="1">
      <x:c r="A27" s="29"/>
      <x:c r="B27" s="29"/>
      <x:c r="C27" s="15" t="s">
        <x:v>573</x:v>
      </x:c>
      <x:c r="D27" s="15" t="s">
        <x:v>1291</x:v>
      </x:c>
      <x:c r="E27" s="29"/>
      <x:c r="F27" s="29"/>
      <x:c r="G27" s="29"/>
    </x:row>
    <x:row r="28" ht="22.5" customHeight="1">
      <x:c r="A28" s="17" t="s">
        <x:v>1292</x:v>
      </x:c>
      <x:c r="B28" s="16" t="s">
        <x:v>1293</x:v>
      </x:c>
      <x:c r="C28" s="13" t="s">
        <x:v>1276</x:v>
      </x:c>
      <x:c r="D28" s="13" t="s">
        <x:v>1276</x:v>
      </x:c>
      <x:c r="E28" s="13" t="s">
        <x:v>1294</x:v>
      </x:c>
      <x:c r="F28" s="13" t="s">
        <x:v>1295</x:v>
      </x:c>
      <x:c r="G28" s="17" t="s">
        <x:v>5</x:v>
      </x:c>
    </x:row>
    <x:row r="29" ht="53.25" customHeight="1">
      <x:c r="A29" s="17" t="s">
        <x:v>1296</x:v>
      </x:c>
      <x:c r="B29" s="16" t="s">
        <x:v>1297</x:v>
      </x:c>
      <x:c r="C29" s="13" t="s">
        <x:v>1276</x:v>
      </x:c>
      <x:c r="D29" s="13" t="s">
        <x:v>1277</x:v>
      </x:c>
      <x:c r="E29" s="13" t="s">
        <x:v>1298</x:v>
      </x:c>
      <x:c r="F29" s="13" t="s">
        <x:v>1299</x:v>
      </x:c>
      <x:c r="G29" s="17" t="s">
        <x:v>5</x:v>
      </x:c>
    </x:row>
    <x:row r="30" ht="64.5" customHeight="1">
      <x:c r="A30" s="17" t="s">
        <x:v>1300</x:v>
      </x:c>
      <x:c r="B30" s="16" t="s">
        <x:v>1301</x:v>
      </x:c>
      <x:c r="C30" s="13" t="s">
        <x:v>1276</x:v>
      </x:c>
      <x:c r="D30" s="13" t="s">
        <x:v>551</x:v>
      </x:c>
      <x:c r="E30" s="13" t="s">
        <x:v>1302</x:v>
      </x:c>
      <x:c r="F30" s="13" t="s">
        <x:v>188</x:v>
      </x:c>
      <x:c r="G30" s="17" t="s">
        <x:v>5</x:v>
      </x:c>
    </x:row>
    <x:row r="31" ht="64.5" customHeight="1">
      <x:c r="A31" s="17" t="s">
        <x:v>1303</x:v>
      </x:c>
      <x:c r="B31" s="16" t="s">
        <x:v>1304</x:v>
      </x:c>
      <x:c r="C31" s="13" t="s">
        <x:v>1276</x:v>
      </x:c>
      <x:c r="D31" s="13" t="s">
        <x:v>478</x:v>
      </x:c>
      <x:c r="E31" s="13" t="s">
        <x:v>1305</x:v>
      </x:c>
      <x:c r="F31" s="13" t="s">
        <x:v>188</x:v>
      </x:c>
      <x:c r="G31" s="17" t="s">
        <x:v>5</x:v>
      </x:c>
    </x:row>
    <x:row r="32" ht="22.5" customHeight="1">
      <x:c r="A32" s="17" t="s">
        <x:v>1306</x:v>
      </x:c>
      <x:c r="B32" s="16" t="s">
        <x:v>1307</x:v>
      </x:c>
      <x:c r="C32" s="13" t="s">
        <x:v>1276</x:v>
      </x:c>
      <x:c r="D32" s="13" t="s">
        <x:v>471</x:v>
      </x:c>
      <x:c r="E32" s="13" t="s">
        <x:v>1308</x:v>
      </x:c>
      <x:c r="F32" s="13" t="s">
        <x:v>1309</x:v>
      </x:c>
      <x:c r="G32" s="17" t="s">
        <x:v>5</x:v>
      </x:c>
    </x:row>
    <x:row r="33" ht="64.5" customHeight="1">
      <x:c r="A33" s="17" t="s">
        <x:v>1310</x:v>
      </x:c>
      <x:c r="B33" s="16" t="s">
        <x:v>1311</x:v>
      </x:c>
      <x:c r="C33" s="13" t="s">
        <x:v>1277</x:v>
      </x:c>
      <x:c r="D33" s="13" t="s">
        <x:v>1276</x:v>
      </x:c>
      <x:c r="E33" s="13" t="s">
        <x:v>1312</x:v>
      </x:c>
      <x:c r="F33" s="13" t="s">
        <x:v>188</x:v>
      </x:c>
      <x:c r="G33" s="17" t="s">
        <x:v>5</x:v>
      </x:c>
    </x:row>
    <x:row r="34" ht="22.5" customHeight="1">
      <x:c r="A34" s="17" t="s">
        <x:v>1313</x:v>
      </x:c>
      <x:c r="B34" s="16" t="s">
        <x:v>1314</x:v>
      </x:c>
      <x:c r="C34" s="13" t="s">
        <x:v>1277</x:v>
      </x:c>
      <x:c r="D34" s="13" t="s">
        <x:v>1277</x:v>
      </x:c>
      <x:c r="E34" s="13" t="s">
        <x:v>1294</x:v>
      </x:c>
      <x:c r="F34" s="13" t="s">
        <x:v>1295</x:v>
      </x:c>
      <x:c r="G34" s="17" t="s">
        <x:v>5</x:v>
      </x:c>
    </x:row>
    <x:row r="35" ht="22.5" customHeight="1">
      <x:c r="A35" s="17" t="s">
        <x:v>1315</x:v>
      </x:c>
      <x:c r="B35" s="16" t="s">
        <x:v>1316</x:v>
      </x:c>
      <x:c r="C35" s="13" t="s">
        <x:v>1277</x:v>
      </x:c>
      <x:c r="D35" s="13" t="s">
        <x:v>551</x:v>
      </x:c>
      <x:c r="E35" s="13" t="s">
        <x:v>1317</x:v>
      </x:c>
      <x:c r="F35" s="13" t="s">
        <x:v>1309</x:v>
      </x:c>
      <x:c r="G35" s="17" t="s">
        <x:v>5</x:v>
      </x:c>
    </x:row>
    <x:row r="36" ht="64.5" customHeight="1">
      <x:c r="A36" s="17" t="s">
        <x:v>1318</x:v>
      </x:c>
      <x:c r="B36" s="16" t="s">
        <x:v>1319</x:v>
      </x:c>
      <x:c r="C36" s="13" t="s">
        <x:v>1277</x:v>
      </x:c>
      <x:c r="D36" s="13" t="s">
        <x:v>478</x:v>
      </x:c>
      <x:c r="E36" s="13" t="s">
        <x:v>1320</x:v>
      </x:c>
      <x:c r="F36" s="13" t="s">
        <x:v>188</x:v>
      </x:c>
      <x:c r="G36" s="17" t="s">
        <x:v>5</x:v>
      </x:c>
    </x:row>
    <x:row r="37" ht="22.5" customHeight="1">
      <x:c r="A37" s="17" t="s">
        <x:v>1321</x:v>
      </x:c>
      <x:c r="B37" s="16" t="s">
        <x:v>1322</x:v>
      </x:c>
      <x:c r="C37" s="13" t="s">
        <x:v>1277</x:v>
      </x:c>
      <x:c r="D37" s="13" t="s">
        <x:v>471</x:v>
      </x:c>
      <x:c r="E37" s="13" t="s">
        <x:v>1308</x:v>
      </x:c>
      <x:c r="F37" s="13" t="s">
        <x:v>1309</x:v>
      </x:c>
      <x:c r="G37" s="17" t="s">
        <x:v>5</x:v>
      </x:c>
    </x:row>
    <x:row r="38" ht="64.5" customHeight="1">
      <x:c r="A38" s="17" t="s">
        <x:v>1323</x:v>
      </x:c>
      <x:c r="B38" s="16" t="s">
        <x:v>1324</x:v>
      </x:c>
      <x:c r="C38" s="13" t="s">
        <x:v>551</x:v>
      </x:c>
      <x:c r="D38" s="13" t="s">
        <x:v>1276</x:v>
      </x:c>
      <x:c r="E38" s="13" t="s">
        <x:v>1325</x:v>
      </x:c>
      <x:c r="F38" s="13" t="s">
        <x:v>188</x:v>
      </x:c>
      <x:c r="G38" s="17" t="s">
        <x:v>5</x:v>
      </x:c>
    </x:row>
    <x:row r="39" ht="64.5" customHeight="1">
      <x:c r="A39" s="17" t="s">
        <x:v>1326</x:v>
      </x:c>
      <x:c r="B39" s="16" t="s">
        <x:v>1327</x:v>
      </x:c>
      <x:c r="C39" s="13" t="s">
        <x:v>551</x:v>
      </x:c>
      <x:c r="D39" s="13" t="s">
        <x:v>1277</x:v>
      </x:c>
      <x:c r="E39" s="13" t="s">
        <x:v>1328</x:v>
      </x:c>
      <x:c r="F39" s="13" t="s">
        <x:v>188</x:v>
      </x:c>
      <x:c r="G39" s="17" t="s">
        <x:v>5</x:v>
      </x:c>
    </x:row>
    <x:row r="40" ht="22.5" customHeight="1">
      <x:c r="A40" s="17" t="s">
        <x:v>1329</x:v>
      </x:c>
      <x:c r="B40" s="16" t="s">
        <x:v>1330</x:v>
      </x:c>
      <x:c r="C40" s="13" t="s">
        <x:v>551</x:v>
      </x:c>
      <x:c r="D40" s="13" t="s">
        <x:v>551</x:v>
      </x:c>
      <x:c r="E40" s="13" t="s">
        <x:v>1294</x:v>
      </x:c>
      <x:c r="F40" s="13" t="s">
        <x:v>1295</x:v>
      </x:c>
      <x:c r="G40" s="17" t="s">
        <x:v>5</x:v>
      </x:c>
    </x:row>
    <x:row r="41" ht="22.5" customHeight="1">
      <x:c r="A41" s="17" t="s">
        <x:v>1331</x:v>
      </x:c>
      <x:c r="B41" s="16" t="s">
        <x:v>1332</x:v>
      </x:c>
      <x:c r="C41" s="13" t="s">
        <x:v>551</x:v>
      </x:c>
      <x:c r="D41" s="13" t="s">
        <x:v>478</x:v>
      </x:c>
      <x:c r="E41" s="13" t="s">
        <x:v>1333</x:v>
      </x:c>
      <x:c r="F41" s="13" t="s">
        <x:v>1334</x:v>
      </x:c>
      <x:c r="G41" s="17" t="s">
        <x:v>5</x:v>
      </x:c>
    </x:row>
    <x:row r="42" ht="64.5" customHeight="1">
      <x:c r="A42" s="17" t="s">
        <x:v>1335</x:v>
      </x:c>
      <x:c r="B42" s="16" t="s">
        <x:v>1336</x:v>
      </x:c>
      <x:c r="C42" s="13" t="s">
        <x:v>551</x:v>
      </x:c>
      <x:c r="D42" s="13" t="s">
        <x:v>471</x:v>
      </x:c>
      <x:c r="E42" s="13" t="s">
        <x:v>1337</x:v>
      </x:c>
      <x:c r="F42" s="13" t="s">
        <x:v>188</x:v>
      </x:c>
      <x:c r="G42" s="17" t="s">
        <x:v>5</x:v>
      </x:c>
    </x:row>
    <x:row r="43" ht="64.5" customHeight="1">
      <x:c r="A43" s="17" t="s">
        <x:v>1338</x:v>
      </x:c>
      <x:c r="B43" s="16" t="s">
        <x:v>1339</x:v>
      </x:c>
      <x:c r="C43" s="13" t="s">
        <x:v>478</x:v>
      </x:c>
      <x:c r="D43" s="13" t="s">
        <x:v>1276</x:v>
      </x:c>
      <x:c r="E43" s="13" t="s">
        <x:v>1340</x:v>
      </x:c>
      <x:c r="F43" s="13" t="s">
        <x:v>188</x:v>
      </x:c>
      <x:c r="G43" s="17" t="s">
        <x:v>5</x:v>
      </x:c>
    </x:row>
    <x:row r="44" ht="64.5" customHeight="1">
      <x:c r="A44" s="17" t="s">
        <x:v>1341</x:v>
      </x:c>
      <x:c r="B44" s="16" t="s">
        <x:v>1342</x:v>
      </x:c>
      <x:c r="C44" s="13" t="s">
        <x:v>478</x:v>
      </x:c>
      <x:c r="D44" s="13" t="s">
        <x:v>1277</x:v>
      </x:c>
      <x:c r="E44" s="13" t="s">
        <x:v>1343</x:v>
      </x:c>
      <x:c r="F44" s="13" t="s">
        <x:v>188</x:v>
      </x:c>
      <x:c r="G44" s="17" t="s">
        <x:v>5</x:v>
      </x:c>
    </x:row>
    <x:row r="45" ht="64.5" customHeight="1">
      <x:c r="A45" s="17" t="s">
        <x:v>1344</x:v>
      </x:c>
      <x:c r="B45" s="16" t="s">
        <x:v>1345</x:v>
      </x:c>
      <x:c r="C45" s="13" t="s">
        <x:v>478</x:v>
      </x:c>
      <x:c r="D45" s="13" t="s">
        <x:v>551</x:v>
      </x:c>
      <x:c r="E45" s="13" t="s">
        <x:v>1346</x:v>
      </x:c>
      <x:c r="F45" s="13" t="s">
        <x:v>188</x:v>
      </x:c>
      <x:c r="G45" s="17" t="s">
        <x:v>5</x:v>
      </x:c>
    </x:row>
    <x:row r="46" ht="22.5" customHeight="1">
      <x:c r="A46" s="17" t="s">
        <x:v>1347</x:v>
      </x:c>
      <x:c r="B46" s="16" t="s">
        <x:v>1348</x:v>
      </x:c>
      <x:c r="C46" s="13" t="s">
        <x:v>478</x:v>
      </x:c>
      <x:c r="D46" s="13" t="s">
        <x:v>478</x:v>
      </x:c>
      <x:c r="E46" s="13" t="s">
        <x:v>1294</x:v>
      </x:c>
      <x:c r="F46" s="13" t="s">
        <x:v>1295</x:v>
      </x:c>
      <x:c r="G46" s="17" t="s">
        <x:v>5</x:v>
      </x:c>
    </x:row>
    <x:row r="47" ht="64.5" customHeight="1">
      <x:c r="A47" s="17" t="s">
        <x:v>1349</x:v>
      </x:c>
      <x:c r="B47" s="16" t="s">
        <x:v>1350</x:v>
      </x:c>
      <x:c r="C47" s="13" t="s">
        <x:v>478</x:v>
      </x:c>
      <x:c r="D47" s="13" t="s">
        <x:v>471</x:v>
      </x:c>
      <x:c r="E47" s="13" t="s">
        <x:v>1351</x:v>
      </x:c>
      <x:c r="F47" s="13" t="s">
        <x:v>188</x:v>
      </x:c>
      <x:c r="G47" s="17" t="s">
        <x:v>5</x:v>
      </x:c>
    </x:row>
    <x:row r="48" ht="64.5" customHeight="1">
      <x:c r="A48" s="17" t="s">
        <x:v>1352</x:v>
      </x:c>
      <x:c r="B48" s="16" t="s">
        <x:v>1353</x:v>
      </x:c>
      <x:c r="C48" s="13" t="s">
        <x:v>471</x:v>
      </x:c>
      <x:c r="D48" s="13" t="s">
        <x:v>1276</x:v>
      </x:c>
      <x:c r="E48" s="13" t="s">
        <x:v>1354</x:v>
      </x:c>
      <x:c r="F48" s="13" t="s">
        <x:v>188</x:v>
      </x:c>
      <x:c r="G48" s="17" t="s">
        <x:v>5</x:v>
      </x:c>
    </x:row>
    <x:row r="49" ht="64.5" customHeight="1">
      <x:c r="A49" s="17" t="s">
        <x:v>1355</x:v>
      </x:c>
      <x:c r="B49" s="16" t="s">
        <x:v>1356</x:v>
      </x:c>
      <x:c r="C49" s="13" t="s">
        <x:v>471</x:v>
      </x:c>
      <x:c r="D49" s="13" t="s">
        <x:v>1277</x:v>
      </x:c>
      <x:c r="E49" s="13" t="s">
        <x:v>1357</x:v>
      </x:c>
      <x:c r="F49" s="13" t="s">
        <x:v>188</x:v>
      </x:c>
      <x:c r="G49" s="17" t="s">
        <x:v>5</x:v>
      </x:c>
    </x:row>
    <x:row r="50" ht="64.5" customHeight="1">
      <x:c r="A50" s="17" t="s">
        <x:v>1358</x:v>
      </x:c>
      <x:c r="B50" s="16" t="s">
        <x:v>1359</x:v>
      </x:c>
      <x:c r="C50" s="13" t="s">
        <x:v>471</x:v>
      </x:c>
      <x:c r="D50" s="13" t="s">
        <x:v>551</x:v>
      </x:c>
      <x:c r="E50" s="13" t="s">
        <x:v>1360</x:v>
      </x:c>
      <x:c r="F50" s="13" t="s">
        <x:v>188</x:v>
      </x:c>
      <x:c r="G50" s="17" t="s">
        <x:v>5</x:v>
      </x:c>
    </x:row>
    <x:row r="51" ht="64.5" customHeight="1">
      <x:c r="A51" s="17" t="s">
        <x:v>1361</x:v>
      </x:c>
      <x:c r="B51" s="16" t="s">
        <x:v>1362</x:v>
      </x:c>
      <x:c r="C51" s="13" t="s">
        <x:v>471</x:v>
      </x:c>
      <x:c r="D51" s="13" t="s">
        <x:v>478</x:v>
      </x:c>
      <x:c r="E51" s="13" t="s">
        <x:v>1363</x:v>
      </x:c>
      <x:c r="F51" s="13" t="s">
        <x:v>188</x:v>
      </x:c>
      <x:c r="G51" s="17" t="s">
        <x:v>5</x:v>
      </x:c>
    </x:row>
    <x:row r="52" ht="22.5" customHeight="1">
      <x:c r="A52" s="17" t="s">
        <x:v>1364</x:v>
      </x:c>
      <x:c r="B52" s="16" t="s">
        <x:v>1365</x:v>
      </x:c>
      <x:c r="C52" s="13" t="s">
        <x:v>471</x:v>
      </x:c>
      <x:c r="D52" s="13" t="s">
        <x:v>471</x:v>
      </x:c>
      <x:c r="E52" s="13" t="s">
        <x:v>1294</x:v>
      </x:c>
      <x:c r="F52" s="13" t="s">
        <x:v>1295</x:v>
      </x:c>
      <x:c r="G52" s="17" t="s">
        <x:v>5</x:v>
      </x:c>
    </x:row>
    <x:row r="53" ht="22.5" customHeight="1">
      <x:c r="A53" s="17" t="s">
        <x:v>179</x:v>
      </x:c>
      <x:c r="B53" s="16" t="s">
        <x:v>1366</x:v>
      </x:c>
      <x:c r="C53" s="13" t="s">
        <x:v>1276</x:v>
      </x:c>
      <x:c r="D53" s="13" t="s">
        <x:v>179</x:v>
      </x:c>
      <x:c r="E53" s="13" t="s">
        <x:v>1367</x:v>
      </x:c>
      <x:c r="F53" s="13" t="s">
        <x:v>188</x:v>
      </x:c>
      <x:c r="G53" s="17" t="s">
        <x:v>5</x:v>
      </x:c>
    </x:row>
  </x:sheetData>
  <x:mergeCells>
    <x:mergeCell ref="B22:E22"/>
    <x:mergeCell ref="A2:G2"/>
    <x:mergeCell ref="A3:G3"/>
    <x:mergeCell ref="A18:G18"/>
    <x:mergeCell ref="B20:E20"/>
    <x:mergeCell ref="B21:E21"/>
    <x:mergeCell ref="B23:G23"/>
    <x:mergeCell ref="B24:G24"/>
    <x:mergeCell ref="A26:A27"/>
    <x:mergeCell ref="B26:B27"/>
    <x:mergeCell ref="C26:D26"/>
    <x:mergeCell ref="E26:E27"/>
    <x:mergeCell ref="F26:F27"/>
    <x:mergeCell ref="G26:G27"/>
  </x:mergeCells>
  <x:conditionalFormatting sqref="G28:G53">
    <x:cfRule type="cellIs" dxfId="41" priority="1" operator="equal">
      <x:formula>"Pass"</x:formula>
    </x:cfRule>
    <x:cfRule type="cellIs" dxfId="40" priority="2" operator="equal">
      <x:formula>"Fail"</x:formula>
    </x:cfRule>
    <x:cfRule type="cellIs" dxfId="39" priority="3" operator="equal">
      <x:formula>"Block"</x:formula>
    </x:cfRule>
  </x:conditionalFormatting>
  <x:dataValidations count="1">
    <x:dataValidation type="list" allowBlank="1" sqref="G28:G53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ColWidth="7.625" defaultRowHeight="23.25"/>
  <x:cols>
    <x:col min="1" max="1" width="29.75" style="8" customWidth="1"/>
    <x:col min="2" max="5" width="14" style="8" customWidth="1"/>
    <x:col min="6" max="6" width="42" style="8" customWidth="1"/>
    <x:col min="7" max="7" width="32.625" style="8" customWidth="1"/>
    <x:col min="8" max="8" width="17.625" style="8" customWidth="1"/>
    <x:col min="9" max="16384" width="7.625" style="8" customWidth="0"/>
  </x:cols>
  <x:sheetData>
    <x:row r="1">
      <x:c r="A1" s="23" t="s">
        <x:v>423</x:v>
      </x:c>
    </x:row>
    <x:row r="2">
      <x:c r="A2" s="39" t="s">
        <x:v>1368</x:v>
      </x:c>
      <x:c r="B2" s="39"/>
      <x:c r="C2" s="39"/>
      <x:c r="D2" s="39"/>
      <x:c r="E2" s="39"/>
      <x:c r="F2" s="39"/>
      <x:c r="G2" s="39"/>
      <x:c r="H2" s="39"/>
    </x:row>
    <x:row r="3">
      <x:c r="A3" s="39" t="s">
        <x:v>1369</x:v>
      </x:c>
      <x:c r="B3" s="39"/>
      <x:c r="C3" s="39"/>
      <x:c r="D3" s="39"/>
      <x:c r="E3" s="39"/>
      <x:c r="F3" s="39"/>
      <x:c r="G3" s="39"/>
      <x:c r="H3" s="39"/>
    </x:row>
    <x:row r="5">
      <x:c r="A5" s="18" t="s">
        <x:v>104</x:v>
      </x:c>
      <x:c r="B5" s="19" t="s">
        <x:v>212</x:v>
      </x:c>
      <x:c r="C5" s="19" t="s">
        <x:v>213</x:v>
      </x:c>
      <x:c r="D5" s="19" t="s">
        <x:v>214</x:v>
      </x:c>
      <x:c r="E5" s="19" t="s">
        <x:v>215</x:v>
      </x:c>
      <x:c r="F5" s="19" t="s">
        <x:v>216</x:v>
      </x:c>
      <x:c r="G5" s="19" t="s">
        <x:v>217</x:v>
      </x:c>
      <x:c r="H5" s="19" t="s">
        <x:v>218</x:v>
      </x:c>
    </x:row>
    <x:row r="6">
      <x:c r="A6" s="13" t="s">
        <x:v>1370</x:v>
      </x:c>
      <x:c r="B6" s="17" t="s">
        <x:v>1371</x:v>
      </x:c>
      <x:c r="C6" s="17" t="s">
        <x:v>1371</x:v>
      </x:c>
      <x:c r="D6" s="17" t="s">
        <x:v>1371</x:v>
      </x:c>
      <x:c r="E6" s="17" t="s">
        <x:v>1371</x:v>
      </x:c>
      <x:c r="F6" s="17" t="s">
        <x:v>1372</x:v>
      </x:c>
      <x:c r="G6" s="17" t="s">
        <x:v>1372</x:v>
      </x:c>
      <x:c r="H6" s="17" t="s">
        <x:v>1372</x:v>
      </x:c>
    </x:row>
    <x:row r="7">
      <x:c r="A7" s="13" t="s">
        <x:v>1373</x:v>
      </x:c>
      <x:c r="B7" s="17" t="s">
        <x:v>222</x:v>
      </x:c>
      <x:c r="C7" s="17" t="s">
        <x:v>221</x:v>
      </x:c>
      <x:c r="D7" s="17" t="s">
        <x:v>221</x:v>
      </x:c>
      <x:c r="E7" s="17" t="s">
        <x:v>221</x:v>
      </x:c>
      <x:c r="F7" s="17" t="s">
        <x:v>222</x:v>
      </x:c>
      <x:c r="G7" s="17" t="s">
        <x:v>221</x:v>
      </x:c>
      <x:c r="H7" s="17" t="s">
        <x:v>221</x:v>
      </x:c>
    </x:row>
    <x:row r="8" ht="46.5">
      <x:c r="A8" s="13" t="s">
        <x:v>1374</x:v>
      </x:c>
      <x:c r="B8" s="17" t="s">
        <x:v>171</x:v>
      </x:c>
      <x:c r="C8" s="17" t="s">
        <x:v>1375</x:v>
      </x:c>
      <x:c r="D8" s="17" t="s">
        <x:v>550</x:v>
      </x:c>
      <x:c r="E8" s="17" t="s">
        <x:v>550</x:v>
      </x:c>
      <x:c r="F8" s="17" t="s">
        <x:v>171</x:v>
      </x:c>
      <x:c r="G8" s="17" t="s">
        <x:v>1376</x:v>
      </x:c>
      <x:c r="H8" s="17" t="s">
        <x:v>551</x:v>
      </x:c>
    </x:row>
    <x:row r="9">
      <x:c r="A9" s="13" t="s">
        <x:v>1377</x:v>
      </x:c>
      <x:c r="B9" s="17" t="s">
        <x:v>171</x:v>
      </x:c>
      <x:c r="C9" s="17" t="s">
        <x:v>171</x:v>
      </x:c>
      <x:c r="D9" s="17" t="s">
        <x:v>1378</x:v>
      </x:c>
      <x:c r="E9" s="17" t="s">
        <x:v>1277</x:v>
      </x:c>
      <x:c r="F9" s="17" t="s">
        <x:v>171</x:v>
      </x:c>
      <x:c r="G9" s="17" t="s">
        <x:v>171</x:v>
      </x:c>
      <x:c r="H9" s="17" t="s">
        <x:v>551</x:v>
      </x:c>
    </x:row>
    <x:row r="10">
      <x:c r="A10" s="18" t="s">
        <x:v>229</x:v>
      </x:c>
      <x:c r="B10" s="20"/>
      <x:c r="C10" s="20"/>
      <x:c r="D10" s="20"/>
      <x:c r="E10" s="20"/>
      <x:c r="F10" s="20"/>
      <x:c r="G10" s="20"/>
      <x:c r="H10" s="20"/>
    </x:row>
    <x:row r="11" ht="46.5">
      <x:c r="A11" s="13" t="s">
        <x:v>1379</x:v>
      </x:c>
      <x:c r="B11" s="17" t="s">
        <x:v>231</x:v>
      </x:c>
      <x:c r="C11" s="17"/>
      <x:c r="D11" s="17"/>
      <x:c r="E11" s="17"/>
      <x:c r="F11" s="17" t="s">
        <x:v>231</x:v>
      </x:c>
      <x:c r="G11" s="17"/>
      <x:c r="H11" s="17"/>
    </x:row>
    <x:row r="12" ht="46.5">
      <x:c r="A12" s="13" t="s">
        <x:v>1380</x:v>
      </x:c>
      <x:c r="B12" s="17"/>
      <x:c r="C12" s="17" t="s">
        <x:v>231</x:v>
      </x:c>
      <x:c r="D12" s="17" t="s">
        <x:v>231</x:v>
      </x:c>
      <x:c r="E12" s="17"/>
      <x:c r="F12" s="17"/>
      <x:c r="G12" s="17" t="s">
        <x:v>231</x:v>
      </x:c>
      <x:c r="H12" s="17"/>
    </x:row>
    <x:row r="13" ht="93">
      <x:c r="A13" s="13" t="s">
        <x:v>1381</x:v>
      </x:c>
      <x:c r="B13" s="17"/>
      <x:c r="C13" s="17"/>
      <x:c r="D13" s="17"/>
      <x:c r="E13" s="17" t="s">
        <x:v>231</x:v>
      </x:c>
      <x:c r="F13" s="17"/>
      <x:c r="G13" s="17"/>
      <x:c r="H13" s="17"/>
    </x:row>
    <x:row r="14" ht="93">
      <x:c r="A14" s="13" t="s">
        <x:v>1382</x:v>
      </x:c>
      <x:c r="B14" s="17"/>
      <x:c r="C14" s="17"/>
      <x:c r="D14" s="17"/>
      <x:c r="E14" s="17"/>
      <x:c r="F14" s="17"/>
      <x:c r="G14" s="17"/>
      <x:c r="H14" s="17" t="s">
        <x:v>231</x:v>
      </x:c>
    </x:row>
    <x:row r="15">
      <x:c r="A15" s="13" t="s">
        <x:v>237</x:v>
      </x:c>
      <x:c r="B15" s="17"/>
      <x:c r="C15" s="17"/>
      <x:c r="D15" s="17"/>
      <x:c r="E15" s="17"/>
      <x:c r="F15" s="17"/>
      <x:c r="G15" s="17"/>
      <x:c r="H15" s="17"/>
    </x:row>
    <x:row r="17">
      <x:c r="A17" s="30" t="s">
        <x:v>143</x:v>
      </x:c>
      <x:c r="B17" s="30"/>
      <x:c r="C17" s="30"/>
      <x:c r="D17" s="30"/>
      <x:c r="E17" s="30"/>
      <x:c r="F17" s="30"/>
      <x:c r="G17" s="30"/>
      <x:c r="H17" s="30"/>
    </x:row>
    <x:row r="19">
      <x:c r="A19" s="12" t="s">
        <x:v>144</x:v>
      </x:c>
      <x:c r="B19" s="28" t="s">
        <x:v>1383</x:v>
      </x:c>
      <x:c r="C19" s="28"/>
      <x:c r="D19" s="28"/>
      <x:c r="E19" s="28"/>
      <x:c r="F19" s="28"/>
      <x:c r="G19" s="12" t="s">
        <x:v>146</x:v>
      </x:c>
      <x:c r="H19" s="14" t="s">
        <x:v>147</x:v>
      </x:c>
    </x:row>
    <x:row r="20">
      <x:c r="A20" s="12" t="s">
        <x:v>148</x:v>
      </x:c>
      <x:c r="B20" s="28" t="s">
        <x:v>451</x:v>
      </x:c>
      <x:c r="C20" s="28"/>
      <x:c r="D20" s="28"/>
      <x:c r="E20" s="28"/>
      <x:c r="F20" s="28"/>
      <x:c r="G20" s="12" t="s">
        <x:v>150</x:v>
      </x:c>
      <x:c r="H20" s="14" t="s">
        <x:v>78</x:v>
      </x:c>
    </x:row>
    <x:row r="21" ht="50.25" customHeight="1">
      <x:c r="A21" s="12" t="s">
        <x:v>151</x:v>
      </x:c>
      <x:c r="B21" s="28" t="s">
        <x:v>152</x:v>
      </x:c>
      <x:c r="C21" s="28"/>
      <x:c r="D21" s="28"/>
      <x:c r="E21" s="28"/>
      <x:c r="F21" s="28"/>
      <x:c r="G21" s="12" t="s">
        <x:v>153</x:v>
      </x:c>
      <x:c r="H21" s="13" t="s">
        <x:v>77</x:v>
      </x:c>
    </x:row>
    <x:row r="22">
      <x:c r="A22" s="12" t="s">
        <x:v>154</x:v>
      </x:c>
      <x:c r="B22" s="28" t="s">
        <x:v>1384</x:v>
      </x:c>
      <x:c r="C22" s="28"/>
      <x:c r="D22" s="28"/>
      <x:c r="E22" s="28"/>
      <x:c r="F22" s="28"/>
      <x:c r="G22" s="28"/>
      <x:c r="H22" s="28"/>
    </x:row>
    <x:row r="23">
      <x:c r="A23" s="12" t="s">
        <x:v>156</x:v>
      </x:c>
      <x:c r="B23" s="28" t="s">
        <x:v>1385</x:v>
      </x:c>
      <x:c r="C23" s="28"/>
      <x:c r="D23" s="28"/>
      <x:c r="E23" s="28"/>
      <x:c r="F23" s="28"/>
      <x:c r="G23" s="28"/>
      <x:c r="H23" s="28"/>
    </x:row>
    <x:row r="25">
      <x:c r="A25" s="29" t="s">
        <x:v>243</x:v>
      </x:c>
      <x:c r="B25" s="29" t="s">
        <x:v>158</x:v>
      </x:c>
      <x:c r="C25" s="29" t="s">
        <x:v>159</x:v>
      </x:c>
      <x:c r="D25" s="29"/>
      <x:c r="E25" s="29"/>
      <x:c r="F25" s="29" t="s">
        <x:v>160</x:v>
      </x:c>
      <x:c r="G25" s="29" t="s">
        <x:v>161</x:v>
      </x:c>
      <x:c r="H25" s="29" t="s">
        <x:v>162</x:v>
      </x:c>
    </x:row>
    <x:row r="26">
      <x:c r="A26" s="29"/>
      <x:c r="B26" s="29"/>
      <x:c r="C26" s="15" t="s">
        <x:v>1386</x:v>
      </x:c>
      <x:c r="D26" s="15" t="s">
        <x:v>167</x:v>
      </x:c>
      <x:c r="E26" s="15" t="s">
        <x:v>1387</x:v>
      </x:c>
      <x:c r="F26" s="29"/>
      <x:c r="G26" s="29"/>
      <x:c r="H26" s="29"/>
    </x:row>
    <x:row r="27" ht="46.5">
      <x:c r="A27" s="17" t="s">
        <x:v>246</x:v>
      </x:c>
      <x:c r="B27" s="16" t="s">
        <x:v>1388</x:v>
      </x:c>
      <x:c r="C27" s="13" t="s">
        <x:v>1371</x:v>
      </x:c>
      <x:c r="D27" s="13" t="s">
        <x:v>1389</x:v>
      </x:c>
      <x:c r="E27" s="13" t="s">
        <x:v>1390</x:v>
      </x:c>
      <x:c r="F27" s="13" t="s">
        <x:v>1391</x:v>
      </x:c>
      <x:c r="G27" s="13" t="s">
        <x:v>188</x:v>
      </x:c>
      <x:c r="H27" s="17" t="s">
        <x:v>5</x:v>
      </x:c>
    </x:row>
    <x:row r="28" ht="46.5">
      <x:c r="A28" s="17" t="s">
        <x:v>246</x:v>
      </x:c>
      <x:c r="B28" s="16" t="s">
        <x:v>1392</x:v>
      </x:c>
      <x:c r="C28" s="13" t="s">
        <x:v>1371</x:v>
      </x:c>
      <x:c r="D28" s="13" t="s">
        <x:v>179</x:v>
      </x:c>
      <x:c r="E28" s="13" t="s">
        <x:v>1390</x:v>
      </x:c>
      <x:c r="F28" s="13" t="s">
        <x:v>1393</x:v>
      </x:c>
      <x:c r="G28" s="13" t="s">
        <x:v>188</x:v>
      </x:c>
      <x:c r="H28" s="17" t="s">
        <x:v>5</x:v>
      </x:c>
    </x:row>
    <x:row r="29" ht="46.5">
      <x:c r="A29" s="17" t="s">
        <x:v>252</x:v>
      </x:c>
      <x:c r="B29" s="16" t="s">
        <x:v>1394</x:v>
      </x:c>
      <x:c r="C29" s="13" t="s">
        <x:v>1371</x:v>
      </x:c>
      <x:c r="D29" s="13" t="s">
        <x:v>174</x:v>
      </x:c>
      <x:c r="E29" s="13" t="s">
        <x:v>1395</x:v>
      </x:c>
      <x:c r="F29" s="13" t="s">
        <x:v>1396</x:v>
      </x:c>
      <x:c r="G29" s="13" t="s">
        <x:v>188</x:v>
      </x:c>
      <x:c r="H29" s="17" t="s">
        <x:v>5</x:v>
      </x:c>
    </x:row>
    <x:row r="30" ht="46.5">
      <x:c r="A30" s="17" t="s">
        <x:v>256</x:v>
      </x:c>
      <x:c r="B30" s="16" t="s">
        <x:v>1397</x:v>
      </x:c>
      <x:c r="C30" s="13" t="s">
        <x:v>1371</x:v>
      </x:c>
      <x:c r="D30" s="13" t="s">
        <x:v>174</x:v>
      </x:c>
      <x:c r="E30" s="13" t="s">
        <x:v>1398</x:v>
      </x:c>
      <x:c r="F30" s="13" t="s">
        <x:v>1399</x:v>
      </x:c>
      <x:c r="G30" s="13" t="s">
        <x:v>188</x:v>
      </x:c>
      <x:c r="H30" s="17" t="s">
        <x:v>5</x:v>
      </x:c>
    </x:row>
    <x:row r="31" ht="116.25">
      <x:c r="A31" s="17" t="s">
        <x:v>260</x:v>
      </x:c>
      <x:c r="B31" s="16" t="s">
        <x:v>1400</x:v>
      </x:c>
      <x:c r="C31" s="13" t="s">
        <x:v>1371</x:v>
      </x:c>
      <x:c r="D31" s="13" t="s">
        <x:v>174</x:v>
      </x:c>
      <x:c r="E31" s="13" t="s">
        <x:v>1390</x:v>
      </x:c>
      <x:c r="F31" s="13" t="s">
        <x:v>1401</x:v>
      </x:c>
      <x:c r="G31" s="13" t="s">
        <x:v>1401</x:v>
      </x:c>
      <x:c r="H31" s="17" t="s">
        <x:v>5</x:v>
      </x:c>
    </x:row>
    <x:row r="32" ht="46.5">
      <x:c r="A32" s="17" t="s">
        <x:v>268</x:v>
      </x:c>
      <x:c r="B32" s="16" t="s">
        <x:v>1402</x:v>
      </x:c>
      <x:c r="C32" s="13" t="s">
        <x:v>1372</x:v>
      </x:c>
      <x:c r="D32" s="13" t="s">
        <x:v>1389</x:v>
      </x:c>
      <x:c r="E32" s="13" t="s">
        <x:v>1403</x:v>
      </x:c>
      <x:c r="F32" s="13" t="s">
        <x:v>1404</x:v>
      </x:c>
      <x:c r="G32" s="13" t="s">
        <x:v>188</x:v>
      </x:c>
      <x:c r="H32" s="17" t="s">
        <x:v>5</x:v>
      </x:c>
    </x:row>
    <x:row r="33" ht="46.5">
      <x:c r="A33" s="17" t="s">
        <x:v>273</x:v>
      </x:c>
      <x:c r="B33" s="16" t="s">
        <x:v>1405</x:v>
      </x:c>
      <x:c r="C33" s="13" t="s">
        <x:v>1372</x:v>
      </x:c>
      <x:c r="D33" s="13" t="s">
        <x:v>174</x:v>
      </x:c>
      <x:c r="E33" s="13" t="s">
        <x:v>1406</x:v>
      </x:c>
      <x:c r="F33" s="13" t="s">
        <x:v>1407</x:v>
      </x:c>
      <x:c r="G33" s="13" t="s">
        <x:v>188</x:v>
      </x:c>
      <x:c r="H33" s="17" t="s">
        <x:v>5</x:v>
      </x:c>
    </x:row>
    <x:row r="34" ht="139.5">
      <x:c r="A34" s="17" t="s">
        <x:v>278</x:v>
      </x:c>
      <x:c r="B34" s="16" t="s">
        <x:v>1408</x:v>
      </x:c>
      <x:c r="C34" s="13" t="s">
        <x:v>1372</x:v>
      </x:c>
      <x:c r="D34" s="13" t="s">
        <x:v>174</x:v>
      </x:c>
      <x:c r="E34" s="13" t="s">
        <x:v>1403</x:v>
      </x:c>
      <x:c r="F34" s="13" t="s">
        <x:v>1409</x:v>
      </x:c>
      <x:c r="G34" s="13" t="s">
        <x:v>1409</x:v>
      </x:c>
      <x:c r="H34" s="17" t="s">
        <x:v>5</x:v>
      </x:c>
    </x:row>
  </x:sheetData>
  <x:mergeCells>
    <x:mergeCell ref="B21:F21"/>
    <x:mergeCell ref="A2:H2"/>
    <x:mergeCell ref="A3:H3"/>
    <x:mergeCell ref="A17:H17"/>
    <x:mergeCell ref="B19:F19"/>
    <x:mergeCell ref="B20:F20"/>
    <x:mergeCell ref="B22:H22"/>
    <x:mergeCell ref="B23:H23"/>
    <x:mergeCell ref="A25:A26"/>
    <x:mergeCell ref="B25:B26"/>
    <x:mergeCell ref="C25:E25"/>
    <x:mergeCell ref="F25:F26"/>
    <x:mergeCell ref="G25:G26"/>
    <x:mergeCell ref="H25:H26"/>
  </x:mergeCells>
  <x:conditionalFormatting sqref="H27:H34">
    <x:cfRule type="cellIs" dxfId="38" priority="1" operator="equal">
      <x:formula>"Pass"</x:formula>
    </x:cfRule>
    <x:cfRule type="cellIs" dxfId="37" priority="2" operator="equal">
      <x:formula>"Fail"</x:formula>
    </x:cfRule>
    <x:cfRule type="cellIs" dxfId="36" priority="3" operator="equal">
      <x:formula>"Block"</x:formula>
    </x:cfRule>
  </x:conditionalFormatting>
  <x:dataValidations count="1">
    <x:dataValidation type="list" allowBlank="1" sqref="H27:H34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4" width="12.25" style="8" customWidth="1"/>
    <x:col min="5" max="5" width="40.25" style="8" customWidth="1"/>
    <x:col min="6" max="6" width="30.75" style="8" customWidth="1"/>
    <x:col min="7" max="7" width="14.875" style="8" customWidth="1"/>
    <x:col min="8" max="9" width="7.625" style="8" customWidth="0"/>
    <x:col min="10" max="10" width="8.75" style="8" customWidth="1"/>
    <x:col min="11" max="13" width="13.125" style="8" customWidth="1"/>
    <x:col min="14" max="16384" width="7.625" style="8" customWidth="0"/>
  </x:cols>
  <x:sheetData>
    <x:row r="1" ht="46.5">
      <x:c r="A1" s="30" t="s">
        <x:v>143</x:v>
      </x:c>
      <x:c r="B1" s="30"/>
      <x:c r="C1" s="30"/>
      <x:c r="D1" s="30"/>
      <x:c r="E1" s="30"/>
      <x:c r="F1" s="30"/>
      <x:c r="G1" s="30"/>
      <x:c r="J1" s="13"/>
      <x:c r="K1" s="15" t="s">
        <x:v>1410</x:v>
      </x:c>
      <x:c r="L1" s="15" t="s">
        <x:v>1411</x:v>
      </x:c>
      <x:c r="M1" s="15" t="s">
        <x:v>1412</x:v>
      </x:c>
    </x:row>
    <x:row r="2">
      <x:c r="J2" s="17" t="s">
        <x:v>289</x:v>
      </x:c>
      <x:c r="K2" s="17" t="s">
        <x:v>368</x:v>
      </x:c>
      <x:c r="L2" s="17" t="s">
        <x:v>368</x:v>
      </x:c>
      <x:c r="M2" s="17" t="s">
        <x:v>368</x:v>
      </x:c>
    </x:row>
    <x:row r="3">
      <x:c r="A3" s="12" t="s">
        <x:v>144</x:v>
      </x:c>
      <x:c r="B3" s="28" t="s">
        <x:v>1413</x:v>
      </x:c>
      <x:c r="C3" s="28"/>
      <x:c r="D3" s="28"/>
      <x:c r="E3" s="28"/>
      <x:c r="F3" s="12" t="s">
        <x:v>146</x:v>
      </x:c>
      <x:c r="G3" s="14" t="s">
        <x:v>147</x:v>
      </x:c>
      <x:c r="J3" s="17" t="s">
        <x:v>293</x:v>
      </x:c>
      <x:c r="K3" s="17" t="s">
        <x:v>172</x:v>
      </x:c>
      <x:c r="L3" s="17" t="s">
        <x:v>172</x:v>
      </x:c>
      <x:c r="M3" s="17" t="s">
        <x:v>172</x:v>
      </x:c>
    </x:row>
    <x:row r="4">
      <x:c r="A4" s="12" t="s">
        <x:v>148</x:v>
      </x:c>
      <x:c r="B4" s="28" t="s">
        <x:v>296</x:v>
      </x:c>
      <x:c r="C4" s="28"/>
      <x:c r="D4" s="28"/>
      <x:c r="E4" s="28"/>
      <x:c r="F4" s="12" t="s">
        <x:v>150</x:v>
      </x:c>
      <x:c r="G4" s="14" t="s">
        <x:v>78</x:v>
      </x:c>
      <x:c r="J4" s="17" t="s">
        <x:v>297</x:v>
      </x:c>
      <x:c r="K4" s="17" t="s">
        <x:v>744</x:v>
      </x:c>
      <x:c r="L4" s="17" t="s">
        <x:v>744</x:v>
      </x:c>
      <x:c r="M4" s="17" t="s">
        <x:v>744</x:v>
      </x:c>
    </x:row>
    <x:row r="5" ht="46.5">
      <x:c r="A5" s="12" t="s">
        <x:v>151</x:v>
      </x:c>
      <x:c r="B5" s="28" t="s">
        <x:v>152</x:v>
      </x:c>
      <x:c r="C5" s="28"/>
      <x:c r="D5" s="28"/>
      <x:c r="E5" s="28"/>
      <x:c r="F5" s="12" t="s">
        <x:v>153</x:v>
      </x:c>
      <x:c r="G5" s="13" t="s">
        <x:v>77</x:v>
      </x:c>
      <x:c r="J5" s="17" t="s">
        <x:v>299</x:v>
      </x:c>
      <x:c r="K5" s="17" t="s">
        <x:v>193</x:v>
      </x:c>
      <x:c r="L5" s="17" t="s">
        <x:v>193</x:v>
      </x:c>
      <x:c r="M5" s="17" t="s">
        <x:v>193</x:v>
      </x:c>
    </x:row>
    <x:row r="6" ht="46.5">
      <x:c r="A6" s="12" t="s">
        <x:v>154</x:v>
      </x:c>
      <x:c r="B6" s="28" t="s">
        <x:v>1414</x:v>
      </x:c>
      <x:c r="C6" s="28"/>
      <x:c r="D6" s="28"/>
      <x:c r="E6" s="28"/>
      <x:c r="F6" s="28"/>
      <x:c r="G6" s="28"/>
      <x:c r="J6" s="17" t="s">
        <x:v>303</x:v>
      </x:c>
      <x:c r="K6" s="17" t="s">
        <x:v>1415</x:v>
      </x:c>
      <x:c r="L6" s="17" t="s">
        <x:v>1415</x:v>
      </x:c>
      <x:c r="M6" s="17" t="s">
        <x:v>1415</x:v>
      </x:c>
    </x:row>
    <x:row r="7" ht="46.5">
      <x:c r="A7" s="12" t="s">
        <x:v>156</x:v>
      </x:c>
      <x:c r="B7" s="28" t="s">
        <x:v>1416</x:v>
      </x:c>
      <x:c r="C7" s="28"/>
      <x:c r="D7" s="28"/>
      <x:c r="E7" s="28"/>
      <x:c r="F7" s="28"/>
      <x:c r="G7" s="28"/>
      <x:c r="J7" s="17" t="s">
        <x:v>307</x:v>
      </x:c>
      <x:c r="K7" s="17" t="s">
        <x:v>210</x:v>
      </x:c>
      <x:c r="L7" s="17" t="s">
        <x:v>210</x:v>
      </x:c>
      <x:c r="M7" s="17" t="s">
        <x:v>210</x:v>
      </x:c>
    </x:row>
    <x:row r="9">
      <x:c r="A9" s="29" t="s">
        <x:v>158</x:v>
      </x:c>
      <x:c r="B9" s="29" t="s">
        <x:v>159</x:v>
      </x:c>
      <x:c r="C9" s="29"/>
      <x:c r="D9" s="29"/>
      <x:c r="E9" s="29" t="s">
        <x:v>160</x:v>
      </x:c>
      <x:c r="F9" s="29" t="s">
        <x:v>161</x:v>
      </x:c>
      <x:c r="G9" s="29" t="s">
        <x:v>162</x:v>
      </x:c>
    </x:row>
    <x:row r="10" ht="46.5">
      <x:c r="A10" s="29"/>
      <x:c r="B10" s="15" t="s">
        <x:v>1410</x:v>
      </x:c>
      <x:c r="C10" s="15" t="s">
        <x:v>1411</x:v>
      </x:c>
      <x:c r="D10" s="15" t="s">
        <x:v>1412</x:v>
      </x:c>
      <x:c r="E10" s="29"/>
      <x:c r="F10" s="29"/>
      <x:c r="G10" s="29"/>
    </x:row>
    <x:row r="11">
      <x:c r="A11" s="16" t="s">
        <x:v>1417</x:v>
      </x:c>
      <x:c r="B11" s="13" t="s">
        <x:v>193</x:v>
      </x:c>
      <x:c r="C11" s="13" t="s">
        <x:v>193</x:v>
      </x:c>
      <x:c r="D11" s="13" t="s">
        <x:v>193</x:v>
      </x:c>
      <x:c r="E11" s="13" t="s">
        <x:v>1418</x:v>
      </x:c>
      <x:c r="F11" s="13" t="s">
        <x:v>1419</x:v>
      </x:c>
      <x:c r="G11" s="17" t="s">
        <x:v>5</x:v>
      </x:c>
    </x:row>
    <x:row r="12" ht="46.5">
      <x:c r="A12" s="16" t="s">
        <x:v>1420</x:v>
      </x:c>
      <x:c r="B12" s="13" t="s">
        <x:v>368</x:v>
      </x:c>
      <x:c r="C12" s="13" t="s">
        <x:v>193</x:v>
      </x:c>
      <x:c r="D12" s="13" t="s">
        <x:v>193</x:v>
      </x:c>
      <x:c r="E12" s="13" t="s">
        <x:v>1421</x:v>
      </x:c>
      <x:c r="F12" s="13" t="s">
        <x:v>188</x:v>
      </x:c>
      <x:c r="G12" s="17" t="s">
        <x:v>5</x:v>
      </x:c>
    </x:row>
    <x:row r="13">
      <x:c r="A13" s="16" t="s">
        <x:v>1422</x:v>
      </x:c>
      <x:c r="B13" s="13" t="s">
        <x:v>172</x:v>
      </x:c>
      <x:c r="C13" s="13" t="s">
        <x:v>193</x:v>
      </x:c>
      <x:c r="D13" s="13" t="s">
        <x:v>193</x:v>
      </x:c>
      <x:c r="E13" s="13" t="s">
        <x:v>1423</x:v>
      </x:c>
      <x:c r="F13" s="13" t="s">
        <x:v>1419</x:v>
      </x:c>
      <x:c r="G13" s="17" t="s">
        <x:v>5</x:v>
      </x:c>
    </x:row>
    <x:row r="14">
      <x:c r="A14" s="16" t="s">
        <x:v>1424</x:v>
      </x:c>
      <x:c r="B14" s="13" t="s">
        <x:v>744</x:v>
      </x:c>
      <x:c r="C14" s="13" t="s">
        <x:v>193</x:v>
      </x:c>
      <x:c r="D14" s="13" t="s">
        <x:v>193</x:v>
      </x:c>
      <x:c r="E14" s="13" t="s">
        <x:v>1423</x:v>
      </x:c>
      <x:c r="F14" s="13" t="s">
        <x:v>1419</x:v>
      </x:c>
      <x:c r="G14" s="17" t="s">
        <x:v>5</x:v>
      </x:c>
    </x:row>
    <x:row r="15">
      <x:c r="A15" s="16" t="s">
        <x:v>1425</x:v>
      </x:c>
      <x:c r="B15" s="13" t="s">
        <x:v>1415</x:v>
      </x:c>
      <x:c r="C15" s="13" t="s">
        <x:v>193</x:v>
      </x:c>
      <x:c r="D15" s="13" t="s">
        <x:v>193</x:v>
      </x:c>
      <x:c r="E15" s="13" t="s">
        <x:v>1423</x:v>
      </x:c>
      <x:c r="F15" s="13" t="s">
        <x:v>1419</x:v>
      </x:c>
      <x:c r="G15" s="17" t="s">
        <x:v>5</x:v>
      </x:c>
    </x:row>
    <x:row r="16">
      <x:c r="A16" s="16" t="s">
        <x:v>1426</x:v>
      </x:c>
      <x:c r="B16" s="13" t="s">
        <x:v>174</x:v>
      </x:c>
      <x:c r="C16" s="13" t="s">
        <x:v>193</x:v>
      </x:c>
      <x:c r="D16" s="13" t="s">
        <x:v>193</x:v>
      </x:c>
      <x:c r="E16" s="13" t="s">
        <x:v>1423</x:v>
      </x:c>
      <x:c r="F16" s="13" t="s">
        <x:v>1419</x:v>
      </x:c>
      <x:c r="G16" s="17" t="s">
        <x:v>5</x:v>
      </x:c>
    </x:row>
    <x:row r="17" ht="46.5">
      <x:c r="A17" s="16" t="s">
        <x:v>1427</x:v>
      </x:c>
      <x:c r="B17" s="13" t="s">
        <x:v>210</x:v>
      </x:c>
      <x:c r="C17" s="13" t="s">
        <x:v>193</x:v>
      </x:c>
      <x:c r="D17" s="13" t="s">
        <x:v>193</x:v>
      </x:c>
      <x:c r="E17" s="13" t="s">
        <x:v>1421</x:v>
      </x:c>
      <x:c r="F17" s="13" t="s">
        <x:v>188</x:v>
      </x:c>
      <x:c r="G17" s="17" t="s">
        <x:v>5</x:v>
      </x:c>
    </x:row>
    <x:row r="18" ht="46.5">
      <x:c r="A18" s="16" t="s">
        <x:v>1428</x:v>
      </x:c>
      <x:c r="B18" s="13" t="s">
        <x:v>193</x:v>
      </x:c>
      <x:c r="C18" s="13" t="s">
        <x:v>368</x:v>
      </x:c>
      <x:c r="D18" s="13" t="s">
        <x:v>193</x:v>
      </x:c>
      <x:c r="E18" s="13" t="s">
        <x:v>1429</x:v>
      </x:c>
      <x:c r="F18" s="13" t="s">
        <x:v>188</x:v>
      </x:c>
      <x:c r="G18" s="17" t="s">
        <x:v>5</x:v>
      </x:c>
    </x:row>
    <x:row r="19">
      <x:c r="A19" s="16" t="s">
        <x:v>1430</x:v>
      </x:c>
      <x:c r="B19" s="13" t="s">
        <x:v>193</x:v>
      </x:c>
      <x:c r="C19" s="13" t="s">
        <x:v>172</x:v>
      </x:c>
      <x:c r="D19" s="13" t="s">
        <x:v>193</x:v>
      </x:c>
      <x:c r="E19" s="13" t="s">
        <x:v>1423</x:v>
      </x:c>
      <x:c r="F19" s="13" t="s">
        <x:v>1419</x:v>
      </x:c>
      <x:c r="G19" s="17" t="s">
        <x:v>5</x:v>
      </x:c>
    </x:row>
    <x:row r="20">
      <x:c r="A20" s="16" t="s">
        <x:v>1431</x:v>
      </x:c>
      <x:c r="B20" s="13" t="s">
        <x:v>193</x:v>
      </x:c>
      <x:c r="C20" s="13" t="s">
        <x:v>744</x:v>
      </x:c>
      <x:c r="D20" s="13" t="s">
        <x:v>193</x:v>
      </x:c>
      <x:c r="E20" s="13" t="s">
        <x:v>1423</x:v>
      </x:c>
      <x:c r="F20" s="13" t="s">
        <x:v>1419</x:v>
      </x:c>
      <x:c r="G20" s="17" t="s">
        <x:v>5</x:v>
      </x:c>
    </x:row>
    <x:row r="21">
      <x:c r="A21" s="16" t="s">
        <x:v>1432</x:v>
      </x:c>
      <x:c r="B21" s="13" t="s">
        <x:v>193</x:v>
      </x:c>
      <x:c r="C21" s="13" t="s">
        <x:v>1415</x:v>
      </x:c>
      <x:c r="D21" s="13" t="s">
        <x:v>193</x:v>
      </x:c>
      <x:c r="E21" s="13" t="s">
        <x:v>1423</x:v>
      </x:c>
      <x:c r="F21" s="13" t="s">
        <x:v>1419</x:v>
      </x:c>
      <x:c r="G21" s="17" t="s">
        <x:v>5</x:v>
      </x:c>
    </x:row>
    <x:row r="22">
      <x:c r="A22" s="16" t="s">
        <x:v>1433</x:v>
      </x:c>
      <x:c r="B22" s="13" t="s">
        <x:v>193</x:v>
      </x:c>
      <x:c r="C22" s="13" t="s">
        <x:v>174</x:v>
      </x:c>
      <x:c r="D22" s="13" t="s">
        <x:v>193</x:v>
      </x:c>
      <x:c r="E22" s="13" t="s">
        <x:v>1423</x:v>
      </x:c>
      <x:c r="F22" s="13" t="s">
        <x:v>1419</x:v>
      </x:c>
      <x:c r="G22" s="17" t="s">
        <x:v>5</x:v>
      </x:c>
    </x:row>
    <x:row r="23" ht="46.5">
      <x:c r="A23" s="16" t="s">
        <x:v>1434</x:v>
      </x:c>
      <x:c r="B23" s="13" t="s">
        <x:v>193</x:v>
      </x:c>
      <x:c r="C23" s="13" t="s">
        <x:v>210</x:v>
      </x:c>
      <x:c r="D23" s="13" t="s">
        <x:v>193</x:v>
      </x:c>
      <x:c r="E23" s="13" t="s">
        <x:v>1429</x:v>
      </x:c>
      <x:c r="F23" s="13" t="s">
        <x:v>188</x:v>
      </x:c>
      <x:c r="G23" s="17" t="s">
        <x:v>5</x:v>
      </x:c>
    </x:row>
    <x:row r="24" ht="46.5">
      <x:c r="A24" s="16" t="s">
        <x:v>1435</x:v>
      </x:c>
      <x:c r="B24" s="13" t="s">
        <x:v>193</x:v>
      </x:c>
      <x:c r="C24" s="13" t="s">
        <x:v>193</x:v>
      </x:c>
      <x:c r="D24" s="13" t="s">
        <x:v>368</x:v>
      </x:c>
      <x:c r="E24" s="13" t="s">
        <x:v>1436</x:v>
      </x:c>
      <x:c r="F24" s="13" t="s">
        <x:v>188</x:v>
      </x:c>
      <x:c r="G24" s="17" t="s">
        <x:v>5</x:v>
      </x:c>
    </x:row>
    <x:row r="25">
      <x:c r="A25" s="16" t="s">
        <x:v>1437</x:v>
      </x:c>
      <x:c r="B25" s="13" t="s">
        <x:v>193</x:v>
      </x:c>
      <x:c r="C25" s="13" t="s">
        <x:v>193</x:v>
      </x:c>
      <x:c r="D25" s="13" t="s">
        <x:v>172</x:v>
      </x:c>
      <x:c r="E25" s="13" t="s">
        <x:v>1423</x:v>
      </x:c>
      <x:c r="F25" s="13" t="s">
        <x:v>1419</x:v>
      </x:c>
      <x:c r="G25" s="17" t="s">
        <x:v>5</x:v>
      </x:c>
    </x:row>
    <x:row r="26">
      <x:c r="A26" s="16" t="s">
        <x:v>1438</x:v>
      </x:c>
      <x:c r="B26" s="13" t="s">
        <x:v>193</x:v>
      </x:c>
      <x:c r="C26" s="13" t="s">
        <x:v>193</x:v>
      </x:c>
      <x:c r="D26" s="13" t="s">
        <x:v>744</x:v>
      </x:c>
      <x:c r="E26" s="13" t="s">
        <x:v>1423</x:v>
      </x:c>
      <x:c r="F26" s="13" t="s">
        <x:v>1419</x:v>
      </x:c>
      <x:c r="G26" s="17" t="s">
        <x:v>5</x:v>
      </x:c>
    </x:row>
    <x:row r="27">
      <x:c r="A27" s="16" t="s">
        <x:v>1439</x:v>
      </x:c>
      <x:c r="B27" s="13" t="s">
        <x:v>193</x:v>
      </x:c>
      <x:c r="C27" s="13" t="s">
        <x:v>193</x:v>
      </x:c>
      <x:c r="D27" s="13" t="s">
        <x:v>1415</x:v>
      </x:c>
      <x:c r="E27" s="13" t="s">
        <x:v>1423</x:v>
      </x:c>
      <x:c r="F27" s="13" t="s">
        <x:v>1419</x:v>
      </x:c>
      <x:c r="G27" s="17" t="s">
        <x:v>5</x:v>
      </x:c>
    </x:row>
    <x:row r="28">
      <x:c r="A28" s="16" t="s">
        <x:v>1440</x:v>
      </x:c>
      <x:c r="B28" s="13" t="s">
        <x:v>193</x:v>
      </x:c>
      <x:c r="C28" s="13" t="s">
        <x:v>193</x:v>
      </x:c>
      <x:c r="D28" s="13" t="s">
        <x:v>174</x:v>
      </x:c>
      <x:c r="E28" s="13" t="s">
        <x:v>1423</x:v>
      </x:c>
      <x:c r="F28" s="13" t="s">
        <x:v>1419</x:v>
      </x:c>
      <x:c r="G28" s="17" t="s">
        <x:v>5</x:v>
      </x:c>
    </x:row>
    <x:row r="29" ht="46.5">
      <x:c r="A29" s="16" t="s">
        <x:v>1441</x:v>
      </x:c>
      <x:c r="B29" s="13" t="s">
        <x:v>193</x:v>
      </x:c>
      <x:c r="C29" s="13" t="s">
        <x:v>193</x:v>
      </x:c>
      <x:c r="D29" s="13" t="s">
        <x:v>210</x:v>
      </x:c>
      <x:c r="E29" s="13" t="s">
        <x:v>1436</x:v>
      </x:c>
      <x:c r="F29" s="13" t="s">
        <x:v>188</x:v>
      </x:c>
      <x:c r="G29" s="17" t="s">
        <x:v>5</x:v>
      </x:c>
    </x:row>
  </x:sheetData>
  <x:mergeCells>
    <x:mergeCell ref="A1:G1"/>
    <x:mergeCell ref="B3:E3"/>
    <x:mergeCell ref="B4:E4"/>
    <x:mergeCell ref="B5:E5"/>
    <x:mergeCell ref="B6:G6"/>
    <x:mergeCell ref="B7:G7"/>
    <x:mergeCell ref="A9:A10"/>
    <x:mergeCell ref="B9:D9"/>
    <x:mergeCell ref="E9:E10"/>
    <x:mergeCell ref="F9:F10"/>
    <x:mergeCell ref="G9:G10"/>
  </x:mergeCells>
  <x:conditionalFormatting sqref="G11:G29">
    <x:cfRule type="cellIs" dxfId="35" priority="1" operator="equal">
      <x:formula>"Pass"</x:formula>
    </x:cfRule>
    <x:cfRule type="cellIs" dxfId="34" priority="2" operator="equal">
      <x:formula>"Fail"</x:formula>
    </x:cfRule>
    <x:cfRule type="cellIs" dxfId="33" priority="3" operator="equal">
      <x:formula>"Block"</x:formula>
    </x:cfRule>
  </x:conditionalFormatting>
  <x:dataValidations count="1">
    <x:dataValidation type="list" allowBlank="1" sqref="G11:G29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3" width="21" style="8" customWidth="1"/>
    <x:col min="4" max="4" width="40.25" style="8" customWidth="1"/>
    <x:col min="5" max="5" width="33.25" style="8" customWidth="1"/>
    <x:col min="6" max="6" width="14.875" style="8" customWidth="1"/>
    <x:col min="7" max="8" width="12.25" style="8" customWidth="1"/>
    <x:col min="9" max="9" width="15.875" style="8" customWidth="1"/>
    <x:col min="10" max="16384" width="7.625" style="8" customWidth="0"/>
  </x:cols>
  <x:sheetData>
    <x:row r="1" ht="24">
      <x:c r="A1" s="32" t="s">
        <x:v>100</x:v>
      </x:c>
      <x:c r="B1" s="32"/>
      <x:c r="C1" s="32"/>
      <x:c r="D1" s="32"/>
      <x:c r="E1" s="32"/>
      <x:c r="F1" s="32"/>
      <x:c r="G1" s="32"/>
      <x:c r="H1" s="32"/>
      <x:c r="I1" s="32"/>
    </x:row>
    <x:row r="2" ht="24">
      <x:c r="A2" s="9" t="s">
        <x:v>101</x:v>
      </x:c>
      <x:c r="E2" s="33" t="s">
        <x:v>102</x:v>
      </x:c>
      <x:c r="F2" s="33"/>
    </x:row>
    <x:row r="3" ht="24">
      <x:c r="A3" s="10" t="s">
        <x:v>103</x:v>
      </x:c>
      <x:c r="B3" s="34" t="s">
        <x:v>104</x:v>
      </x:c>
      <x:c r="C3" s="34"/>
      <x:c r="E3" s="10" t="s">
        <x:v>103</x:v>
      </x:c>
      <x:c r="F3" s="34" t="s">
        <x:v>104</x:v>
      </x:c>
      <x:c r="G3" s="34"/>
      <x:c r="H3" s="34"/>
      <x:c r="I3" s="34"/>
    </x:row>
    <x:row r="4" ht="24">
      <x:c r="A4" s="11" t="s">
        <x:v>105</x:v>
      </x:c>
      <x:c r="B4" s="31" t="s">
        <x:v>1442</x:v>
      </x:c>
      <x:c r="C4" s="31"/>
      <x:c r="E4" s="11" t="s">
        <x:v>107</x:v>
      </x:c>
      <x:c r="F4" s="31" t="s">
        <x:v>886</x:v>
      </x:c>
      <x:c r="G4" s="31"/>
      <x:c r="H4" s="31"/>
      <x:c r="I4" s="31"/>
    </x:row>
    <x:row r="5" ht="24">
      <x:c r="A5" s="11" t="s">
        <x:v>109</x:v>
      </x:c>
      <x:c r="B5" s="31" t="s">
        <x:v>1443</x:v>
      </x:c>
      <x:c r="C5" s="31"/>
      <x:c r="E5" s="11" t="s">
        <x:v>111</x:v>
      </x:c>
      <x:c r="F5" s="31" t="s">
        <x:v>1444</x:v>
      </x:c>
      <x:c r="G5" s="31"/>
      <x:c r="H5" s="31"/>
      <x:c r="I5" s="31"/>
    </x:row>
    <x:row r="6" ht="24">
      <x:c r="A6" s="11" t="s">
        <x:v>113</x:v>
      </x:c>
      <x:c r="B6" s="31" t="s">
        <x:v>1445</x:v>
      </x:c>
      <x:c r="C6" s="31"/>
      <x:c r="E6" s="11" t="s">
        <x:v>115</x:v>
      </x:c>
      <x:c r="F6" s="31" t="s">
        <x:v>1446</x:v>
      </x:c>
      <x:c r="G6" s="31"/>
      <x:c r="H6" s="31"/>
      <x:c r="I6" s="31"/>
    </x:row>
    <x:row r="7" ht="24">
      <x:c r="A7" s="11" t="s">
        <x:v>117</x:v>
      </x:c>
      <x:c r="B7" s="31" t="s">
        <x:v>1447</x:v>
      </x:c>
      <x:c r="C7" s="31"/>
      <x:c r="E7" s="11" t="s">
        <x:v>119</x:v>
      </x:c>
      <x:c r="F7" s="31" t="s">
        <x:v>1448</x:v>
      </x:c>
      <x:c r="G7" s="31"/>
      <x:c r="H7" s="31"/>
      <x:c r="I7" s="31"/>
    </x:row>
    <x:row r="8" ht="24">
      <x:c r="A8" s="11" t="s">
        <x:v>121</x:v>
      </x:c>
      <x:c r="B8" s="31" t="s">
        <x:v>1449</x:v>
      </x:c>
      <x:c r="C8" s="31"/>
      <x:c r="E8" s="11" t="s">
        <x:v>123</x:v>
      </x:c>
      <x:c r="F8" s="31" t="s">
        <x:v>1450</x:v>
      </x:c>
      <x:c r="G8" s="31"/>
      <x:c r="H8" s="31"/>
      <x:c r="I8" s="31"/>
    </x:row>
    <x:row r="10">
      <x:c r="A10" s="30" t="s">
        <x:v>143</x:v>
      </x:c>
      <x:c r="B10" s="30"/>
      <x:c r="C10" s="30"/>
      <x:c r="D10" s="30"/>
      <x:c r="E10" s="30"/>
      <x:c r="F10" s="30"/>
      <x:c r="G10" s="30"/>
      <x:c r="H10" s="30"/>
      <x:c r="I10" s="30"/>
    </x:row>
    <x:row r="12">
      <x:c r="A12" s="12" t="s">
        <x:v>144</x:v>
      </x:c>
      <x:c r="B12" s="28" t="s">
        <x:v>1451</x:v>
      </x:c>
      <x:c r="C12" s="28"/>
      <x:c r="D12" s="28"/>
      <x:c r="E12" s="21"/>
      <x:c r="F12" s="21"/>
      <x:c r="G12" s="21"/>
      <x:c r="H12" s="12" t="s">
        <x:v>146</x:v>
      </x:c>
      <x:c r="I12" s="14" t="s">
        <x:v>147</x:v>
      </x:c>
    </x:row>
    <x:row r="13">
      <x:c r="A13" s="12" t="s">
        <x:v>148</x:v>
      </x:c>
      <x:c r="B13" s="28" t="s">
        <x:v>149</x:v>
      </x:c>
      <x:c r="C13" s="28"/>
      <x:c r="D13" s="28"/>
      <x:c r="E13" s="21"/>
      <x:c r="F13" s="21"/>
      <x:c r="G13" s="21"/>
      <x:c r="H13" s="12" t="s">
        <x:v>150</x:v>
      </x:c>
      <x:c r="I13" s="14" t="s">
        <x:v>78</x:v>
      </x:c>
    </x:row>
    <x:row r="14" ht="46.5">
      <x:c r="A14" s="12" t="s">
        <x:v>151</x:v>
      </x:c>
      <x:c r="B14" s="28" t="s">
        <x:v>152</x:v>
      </x:c>
      <x:c r="C14" s="28"/>
      <x:c r="D14" s="28"/>
      <x:c r="E14" s="21"/>
      <x:c r="F14" s="21"/>
      <x:c r="G14" s="21"/>
      <x:c r="H14" s="12" t="s">
        <x:v>153</x:v>
      </x:c>
      <x:c r="I14" s="13" t="s">
        <x:v>77</x:v>
      </x:c>
    </x:row>
    <x:row r="15" ht="46.5">
      <x:c r="A15" s="12" t="s">
        <x:v>154</x:v>
      </x:c>
      <x:c r="B15" s="28" t="s">
        <x:v>1452</x:v>
      </x:c>
      <x:c r="C15" s="28"/>
      <x:c r="D15" s="28"/>
      <x:c r="E15" s="28"/>
      <x:c r="F15" s="28"/>
      <x:c r="G15" s="28"/>
      <x:c r="H15" s="28"/>
      <x:c r="I15" s="28"/>
    </x:row>
    <x:row r="16" ht="46.5">
      <x:c r="A16" s="12" t="s">
        <x:v>156</x:v>
      </x:c>
      <x:c r="B16" s="28" t="s">
        <x:v>1453</x:v>
      </x:c>
      <x:c r="C16" s="28"/>
      <x:c r="D16" s="28"/>
      <x:c r="E16" s="28"/>
      <x:c r="F16" s="28"/>
      <x:c r="G16" s="28"/>
      <x:c r="H16" s="28"/>
      <x:c r="I16" s="28"/>
    </x:row>
    <x:row r="18">
      <x:c r="A18" s="29" t="s">
        <x:v>158</x:v>
      </x:c>
      <x:c r="B18" s="29" t="s">
        <x:v>159</x:v>
      </x:c>
      <x:c r="C18" s="29"/>
      <x:c r="D18" s="29" t="s">
        <x:v>160</x:v>
      </x:c>
      <x:c r="E18" s="29" t="s">
        <x:v>161</x:v>
      </x:c>
      <x:c r="F18" s="29" t="s">
        <x:v>162</x:v>
      </x:c>
    </x:row>
    <x:row r="19">
      <x:c r="A19" s="29"/>
      <x:c r="B19" s="15" t="s">
        <x:v>1454</x:v>
      </x:c>
      <x:c r="C19" s="15" t="s">
        <x:v>1455</x:v>
      </x:c>
      <x:c r="D19" s="29"/>
      <x:c r="E19" s="29"/>
      <x:c r="F19" s="29"/>
    </x:row>
    <x:row r="20">
      <x:c r="A20" s="16" t="s">
        <x:v>1456</x:v>
      </x:c>
      <x:c r="B20" s="13" t="s">
        <x:v>1457</x:v>
      </x:c>
      <x:c r="C20" s="13" t="s">
        <x:v>1458</x:v>
      </x:c>
      <x:c r="D20" s="13" t="s">
        <x:v>1459</x:v>
      </x:c>
      <x:c r="E20" s="13" t="s">
        <x:v>1460</x:v>
      </x:c>
      <x:c r="F20" s="17" t="s">
        <x:v>5</x:v>
      </x:c>
    </x:row>
    <x:row r="21">
      <x:c r="A21" s="16" t="s">
        <x:v>1461</x:v>
      </x:c>
      <x:c r="B21" s="13" t="s">
        <x:v>1457</x:v>
      </x:c>
      <x:c r="C21" s="13" t="s">
        <x:v>1462</x:v>
      </x:c>
      <x:c r="D21" s="13" t="s">
        <x:v>1463</x:v>
      </x:c>
      <x:c r="E21" s="13" t="s">
        <x:v>1464</x:v>
      </x:c>
      <x:c r="F21" s="17" t="s">
        <x:v>5</x:v>
      </x:c>
    </x:row>
    <x:row r="22">
      <x:c r="A22" s="16" t="s">
        <x:v>1465</x:v>
      </x:c>
      <x:c r="B22" s="13" t="s">
        <x:v>1457</x:v>
      </x:c>
      <x:c r="C22" s="13" t="s">
        <x:v>1070</x:v>
      </x:c>
      <x:c r="D22" s="13" t="s">
        <x:v>1466</x:v>
      </x:c>
      <x:c r="E22" s="13" t="s">
        <x:v>1467</x:v>
      </x:c>
      <x:c r="F22" s="17" t="s">
        <x:v>5</x:v>
      </x:c>
    </x:row>
    <x:row r="23" ht="46.5">
      <x:c r="A23" s="16" t="s">
        <x:v>1468</x:v>
      </x:c>
      <x:c r="B23" s="13" t="s">
        <x:v>1457</x:v>
      </x:c>
      <x:c r="C23" s="13" t="s">
        <x:v>1469</x:v>
      </x:c>
      <x:c r="D23" s="13" t="s">
        <x:v>1470</x:v>
      </x:c>
      <x:c r="E23" s="13" t="s">
        <x:v>1471</x:v>
      </x:c>
      <x:c r="F23" s="17" t="s">
        <x:v>5</x:v>
      </x:c>
    </x:row>
    <x:row r="24" ht="46.5">
      <x:c r="A24" s="16" t="s">
        <x:v>1472</x:v>
      </x:c>
      <x:c r="B24" s="13" t="s">
        <x:v>1473</x:v>
      </x:c>
      <x:c r="C24" s="13" t="s">
        <x:v>171</x:v>
      </x:c>
      <x:c r="D24" s="13" t="s">
        <x:v>1474</x:v>
      </x:c>
      <x:c r="E24" s="13" t="s">
        <x:v>1460</x:v>
      </x:c>
      <x:c r="F24" s="17" t="s">
        <x:v>5</x:v>
      </x:c>
    </x:row>
    <x:row r="25">
      <x:c r="A25" s="16" t="s">
        <x:v>1475</x:v>
      </x:c>
      <x:c r="B25" s="13" t="s">
        <x:v>190</x:v>
      </x:c>
      <x:c r="C25" s="13" t="s">
        <x:v>171</x:v>
      </x:c>
      <x:c r="D25" s="13" t="s">
        <x:v>810</x:v>
      </x:c>
      <x:c r="E25" s="13" t="s">
        <x:v>185</x:v>
      </x:c>
      <x:c r="F25" s="17" t="s">
        <x:v>5</x:v>
      </x:c>
    </x:row>
    <x:row r="26" ht="46.5">
      <x:c r="A26" s="16" t="s">
        <x:v>1476</x:v>
      </x:c>
      <x:c r="B26" s="13" t="s">
        <x:v>1477</x:v>
      </x:c>
      <x:c r="C26" s="13" t="s">
        <x:v>171</x:v>
      </x:c>
      <x:c r="D26" s="13" t="s">
        <x:v>1478</x:v>
      </x:c>
      <x:c r="E26" s="13" t="s">
        <x:v>188</x:v>
      </x:c>
      <x:c r="F26" s="17" t="s">
        <x:v>5</x:v>
      </x:c>
    </x:row>
    <x:row r="27" ht="46.5">
      <x:c r="A27" s="16" t="s">
        <x:v>1479</x:v>
      </x:c>
      <x:c r="B27" s="13" t="s">
        <x:v>1480</x:v>
      </x:c>
      <x:c r="C27" s="13" t="s">
        <x:v>171</x:v>
      </x:c>
      <x:c r="D27" s="13" t="s">
        <x:v>1481</x:v>
      </x:c>
      <x:c r="E27" s="13" t="s">
        <x:v>249</x:v>
      </x:c>
      <x:c r="F27" s="17" t="s">
        <x:v>5</x:v>
      </x:c>
    </x:row>
    <x:row r="28">
      <x:c r="A28" s="16" t="s">
        <x:v>1482</x:v>
      </x:c>
      <x:c r="B28" s="13" t="s">
        <x:v>1457</x:v>
      </x:c>
      <x:c r="C28" s="13" t="s">
        <x:v>1483</x:v>
      </x:c>
      <x:c r="D28" s="13" t="s">
        <x:v>1484</x:v>
      </x:c>
      <x:c r="E28" s="13" t="s">
        <x:v>188</x:v>
      </x:c>
      <x:c r="F28" s="17" t="s">
        <x:v>5</x:v>
      </x:c>
    </x:row>
  </x:sheetData>
  <x:mergeCells>
    <x:mergeCell ref="A1:I1"/>
    <x:mergeCell ref="E2:F2"/>
    <x:mergeCell ref="B3:C3"/>
    <x:mergeCell ref="F3:I3"/>
    <x:mergeCell ref="B4:C4"/>
    <x:mergeCell ref="F4:I4"/>
    <x:mergeCell ref="B14:D14"/>
    <x:mergeCell ref="B5:C5"/>
    <x:mergeCell ref="F5:I5"/>
    <x:mergeCell ref="B6:C6"/>
    <x:mergeCell ref="F6:I6"/>
    <x:mergeCell ref="B7:C7"/>
    <x:mergeCell ref="F7:I7"/>
    <x:mergeCell ref="B8:C8"/>
    <x:mergeCell ref="F8:I8"/>
    <x:mergeCell ref="A10:I10"/>
    <x:mergeCell ref="B12:D12"/>
    <x:mergeCell ref="B13:D13"/>
    <x:mergeCell ref="B15:I15"/>
    <x:mergeCell ref="B16:I16"/>
    <x:mergeCell ref="A18:A19"/>
    <x:mergeCell ref="B18:C18"/>
    <x:mergeCell ref="D18:D19"/>
    <x:mergeCell ref="E18:E19"/>
    <x:mergeCell ref="F18:F19"/>
  </x:mergeCells>
  <x:conditionalFormatting sqref="F20:F28">
    <x:cfRule type="cellIs" dxfId="32" priority="1" operator="equal">
      <x:formula>"Pass"</x:formula>
    </x:cfRule>
    <x:cfRule type="cellIs" dxfId="31" priority="2" operator="equal">
      <x:formula>"Fail"</x:formula>
    </x:cfRule>
    <x:cfRule type="cellIs" dxfId="30" priority="3" operator="equal">
      <x:formula>"Block"</x:formula>
    </x:cfRule>
  </x:conditionalFormatting>
  <x:dataValidations count="1">
    <x:dataValidation type="list" allowBlank="1" sqref="F20:F28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ColWidth="7.625" defaultRowHeight="23.25"/>
  <x:cols>
    <x:col min="1" max="1" width="29.75" style="8" customWidth="1"/>
    <x:col min="2" max="2" width="14" style="8" customWidth="1"/>
    <x:col min="3" max="5" width="17.5" style="8" customWidth="1"/>
    <x:col min="6" max="6" width="38.5" style="8" customWidth="1"/>
    <x:col min="7" max="7" width="30.625" style="8" customWidth="1"/>
    <x:col min="8" max="8" width="14.875" style="8" customWidth="1"/>
    <x:col min="9" max="16384" width="7.625" style="8" customWidth="0"/>
  </x:cols>
  <x:sheetData>
    <x:row r="1">
      <x:c r="A1" s="18" t="s">
        <x:v>104</x:v>
      </x:c>
      <x:c r="B1" s="19" t="s">
        <x:v>212</x:v>
      </x:c>
      <x:c r="C1" s="19" t="s">
        <x:v>213</x:v>
      </x:c>
      <x:c r="D1" s="19" t="s">
        <x:v>214</x:v>
      </x:c>
      <x:c r="E1" s="19" t="s">
        <x:v>215</x:v>
      </x:c>
    </x:row>
    <x:row r="2">
      <x:c r="A2" s="13" t="s">
        <x:v>1485</x:v>
      </x:c>
      <x:c r="B2" s="17" t="s">
        <x:v>222</x:v>
      </x:c>
      <x:c r="C2" s="17" t="s">
        <x:v>221</x:v>
      </x:c>
      <x:c r="D2" s="17" t="s">
        <x:v>221</x:v>
      </x:c>
      <x:c r="E2" s="17" t="s">
        <x:v>221</x:v>
      </x:c>
    </x:row>
    <x:row r="3">
      <x:c r="A3" s="13" t="s">
        <x:v>1486</x:v>
      </x:c>
      <x:c r="B3" s="17" t="s">
        <x:v>171</x:v>
      </x:c>
      <x:c r="C3" s="17" t="s">
        <x:v>222</x:v>
      </x:c>
      <x:c r="D3" s="17" t="s">
        <x:v>221</x:v>
      </x:c>
      <x:c r="E3" s="17" t="s">
        <x:v>221</x:v>
      </x:c>
    </x:row>
    <x:row r="4">
      <x:c r="A4" s="13" t="s">
        <x:v>1487</x:v>
      </x:c>
      <x:c r="B4" s="17" t="s">
        <x:v>171</x:v>
      </x:c>
      <x:c r="C4" s="17" t="s">
        <x:v>171</x:v>
      </x:c>
      <x:c r="D4" s="17" t="s">
        <x:v>222</x:v>
      </x:c>
      <x:c r="E4" s="17" t="s">
        <x:v>221</x:v>
      </x:c>
    </x:row>
    <x:row r="5">
      <x:c r="A5" s="18" t="s">
        <x:v>229</x:v>
      </x:c>
      <x:c r="B5" s="20"/>
      <x:c r="C5" s="20"/>
      <x:c r="D5" s="20"/>
      <x:c r="E5" s="20"/>
    </x:row>
    <x:row r="6" ht="46.5">
      <x:c r="A6" s="13" t="s">
        <x:v>1488</x:v>
      </x:c>
      <x:c r="B6" s="17" t="s">
        <x:v>231</x:v>
      </x:c>
      <x:c r="C6" s="17"/>
      <x:c r="D6" s="17" t="s">
        <x:v>231</x:v>
      </x:c>
      <x:c r="E6" s="17"/>
    </x:row>
    <x:row r="7" ht="46.5">
      <x:c r="A7" s="13" t="s">
        <x:v>1489</x:v>
      </x:c>
      <x:c r="B7" s="17"/>
      <x:c r="C7" s="17" t="s">
        <x:v>231</x:v>
      </x:c>
      <x:c r="D7" s="17"/>
      <x:c r="E7" s="17"/>
    </x:row>
    <x:row r="8" ht="46.5">
      <x:c r="A8" s="13" t="s">
        <x:v>1490</x:v>
      </x:c>
      <x:c r="B8" s="17"/>
      <x:c r="C8" s="17"/>
      <x:c r="D8" s="17"/>
      <x:c r="E8" s="17" t="s">
        <x:v>231</x:v>
      </x:c>
    </x:row>
    <x:row r="9">
      <x:c r="A9" s="13" t="s">
        <x:v>237</x:v>
      </x:c>
      <x:c r="B9" s="17"/>
      <x:c r="C9" s="17"/>
      <x:c r="D9" s="17"/>
      <x:c r="E9" s="17"/>
    </x:row>
    <x:row r="11">
      <x:c r="A11" s="30" t="s">
        <x:v>143</x:v>
      </x:c>
      <x:c r="B11" s="30"/>
      <x:c r="C11" s="30"/>
      <x:c r="D11" s="30"/>
      <x:c r="E11" s="30"/>
      <x:c r="F11" s="30"/>
      <x:c r="G11" s="30"/>
      <x:c r="H11" s="30"/>
    </x:row>
    <x:row r="13">
      <x:c r="A13" s="12" t="s">
        <x:v>144</x:v>
      </x:c>
      <x:c r="B13" s="28" t="s">
        <x:v>1491</x:v>
      </x:c>
      <x:c r="C13" s="28"/>
      <x:c r="D13" s="28"/>
      <x:c r="E13" s="28"/>
      <x:c r="F13" s="28"/>
      <x:c r="G13" s="12" t="s">
        <x:v>146</x:v>
      </x:c>
      <x:c r="H13" s="14" t="s">
        <x:v>147</x:v>
      </x:c>
    </x:row>
    <x:row r="14">
      <x:c r="A14" s="12" t="s">
        <x:v>148</x:v>
      </x:c>
      <x:c r="B14" s="28" t="s">
        <x:v>240</x:v>
      </x:c>
      <x:c r="C14" s="28"/>
      <x:c r="D14" s="28"/>
      <x:c r="E14" s="28"/>
      <x:c r="F14" s="28"/>
      <x:c r="G14" s="12" t="s">
        <x:v>150</x:v>
      </x:c>
      <x:c r="H14" s="14" t="s">
        <x:v>78</x:v>
      </x:c>
    </x:row>
    <x:row r="15">
      <x:c r="A15" s="12" t="s">
        <x:v>151</x:v>
      </x:c>
      <x:c r="B15" s="28" t="s">
        <x:v>152</x:v>
      </x:c>
      <x:c r="C15" s="28"/>
      <x:c r="D15" s="28"/>
      <x:c r="E15" s="28"/>
      <x:c r="F15" s="28"/>
      <x:c r="G15" s="12" t="s">
        <x:v>153</x:v>
      </x:c>
      <x:c r="H15" s="13" t="s">
        <x:v>77</x:v>
      </x:c>
    </x:row>
    <x:row r="16">
      <x:c r="A16" s="12" t="s">
        <x:v>154</x:v>
      </x:c>
      <x:c r="B16" s="28" t="s">
        <x:v>1492</x:v>
      </x:c>
      <x:c r="C16" s="28"/>
      <x:c r="D16" s="28"/>
      <x:c r="E16" s="28"/>
      <x:c r="F16" s="28"/>
      <x:c r="G16" s="28"/>
      <x:c r="H16" s="28"/>
    </x:row>
    <x:row r="17">
      <x:c r="A17" s="12" t="s">
        <x:v>156</x:v>
      </x:c>
      <x:c r="B17" s="28" t="s">
        <x:v>1493</x:v>
      </x:c>
      <x:c r="C17" s="28"/>
      <x:c r="D17" s="28"/>
      <x:c r="E17" s="28"/>
      <x:c r="F17" s="28"/>
      <x:c r="G17" s="28"/>
      <x:c r="H17" s="28"/>
    </x:row>
    <x:row r="19">
      <x:c r="A19" s="29" t="s">
        <x:v>243</x:v>
      </x:c>
      <x:c r="B19" s="29" t="s">
        <x:v>158</x:v>
      </x:c>
      <x:c r="C19" s="29" t="s">
        <x:v>159</x:v>
      </x:c>
      <x:c r="D19" s="29"/>
      <x:c r="E19" s="29"/>
      <x:c r="F19" s="29" t="s">
        <x:v>160</x:v>
      </x:c>
      <x:c r="G19" s="29" t="s">
        <x:v>161</x:v>
      </x:c>
      <x:c r="H19" s="29" t="s">
        <x:v>162</x:v>
      </x:c>
    </x:row>
    <x:row r="20">
      <x:c r="A20" s="29"/>
      <x:c r="B20" s="29"/>
      <x:c r="C20" s="15" t="s">
        <x:v>1494</x:v>
      </x:c>
      <x:c r="D20" s="15" t="s">
        <x:v>1495</x:v>
      </x:c>
      <x:c r="E20" s="15" t="s">
        <x:v>1496</x:v>
      </x:c>
      <x:c r="F20" s="29"/>
      <x:c r="G20" s="29"/>
      <x:c r="H20" s="29"/>
    </x:row>
    <x:row r="21" ht="46.5">
      <x:c r="A21" s="17" t="s">
        <x:v>246</x:v>
      </x:c>
      <x:c r="B21" s="16" t="s">
        <x:v>1497</x:v>
      </x:c>
      <x:c r="C21" s="13" t="s">
        <x:v>1498</x:v>
      </x:c>
      <x:c r="D21" s="13" t="s">
        <x:v>1499</x:v>
      </x:c>
      <x:c r="E21" s="13" t="s">
        <x:v>1265</x:v>
      </x:c>
      <x:c r="F21" s="13" t="s">
        <x:v>1500</x:v>
      </x:c>
      <x:c r="G21" s="13" t="s">
        <x:v>182</x:v>
      </x:c>
      <x:c r="H21" s="17" t="s">
        <x:v>5</x:v>
      </x:c>
    </x:row>
    <x:row r="22" ht="46.5">
      <x:c r="A22" s="17" t="s">
        <x:v>252</x:v>
      </x:c>
      <x:c r="B22" s="16" t="s">
        <x:v>1501</x:v>
      </x:c>
      <x:c r="C22" s="13" t="s">
        <x:v>1502</x:v>
      </x:c>
      <x:c r="D22" s="13" t="s">
        <x:v>1503</x:v>
      </x:c>
      <x:c r="E22" s="13" t="s">
        <x:v>1504</x:v>
      </x:c>
      <x:c r="F22" s="13" t="s">
        <x:v>1505</x:v>
      </x:c>
      <x:c r="G22" s="13" t="s">
        <x:v>182</x:v>
      </x:c>
      <x:c r="H22" s="17" t="s">
        <x:v>5</x:v>
      </x:c>
    </x:row>
    <x:row r="23" ht="46.5">
      <x:c r="A23" s="17" t="s">
        <x:v>256</x:v>
      </x:c>
      <x:c r="B23" s="16" t="s">
        <x:v>1506</x:v>
      </x:c>
      <x:c r="C23" s="13" t="s">
        <x:v>1502</x:v>
      </x:c>
      <x:c r="D23" s="13" t="s">
        <x:v>1507</x:v>
      </x:c>
      <x:c r="E23" s="13" t="s">
        <x:v>1508</x:v>
      </x:c>
      <x:c r="F23" s="13" t="s">
        <x:v>1509</x:v>
      </x:c>
      <x:c r="G23" s="13" t="s">
        <x:v>182</x:v>
      </x:c>
      <x:c r="H23" s="17" t="s">
        <x:v>5</x:v>
      </x:c>
    </x:row>
    <x:row r="24" ht="69.75">
      <x:c r="A24" s="17" t="s">
        <x:v>260</x:v>
      </x:c>
      <x:c r="B24" s="16" t="s">
        <x:v>1510</x:v>
      </x:c>
      <x:c r="C24" s="13" t="s">
        <x:v>1502</x:v>
      </x:c>
      <x:c r="D24" s="13" t="s">
        <x:v>1503</x:v>
      </x:c>
      <x:c r="E24" s="13" t="s">
        <x:v>1508</x:v>
      </x:c>
      <x:c r="F24" s="13" t="s">
        <x:v>1511</x:v>
      </x:c>
      <x:c r="G24" s="13" t="s">
        <x:v>1209</x:v>
      </x:c>
      <x:c r="H24" s="17" t="s">
        <x:v>5</x:v>
      </x:c>
    </x:row>
    <x:row r="25" ht="46.5">
      <x:c r="A25" s="17" t="s">
        <x:v>260</x:v>
      </x:c>
      <x:c r="B25" s="16" t="s">
        <x:v>1512</x:v>
      </x:c>
      <x:c r="C25" s="13" t="s">
        <x:v>1513</x:v>
      </x:c>
      <x:c r="D25" s="13" t="s">
        <x:v>1503</x:v>
      </x:c>
      <x:c r="E25" s="13" t="s">
        <x:v>1514</x:v>
      </x:c>
      <x:c r="F25" s="13" t="s">
        <x:v>1515</x:v>
      </x:c>
      <x:c r="G25" s="13" t="s">
        <x:v>1209</x:v>
      </x:c>
      <x:c r="H25" s="17" t="s">
        <x:v>5</x:v>
      </x:c>
    </x:row>
    <x:row r="26" ht="46.5">
      <x:c r="A26" s="17" t="s">
        <x:v>260</x:v>
      </x:c>
      <x:c r="B26" s="16" t="s">
        <x:v>1516</x:v>
      </x:c>
      <x:c r="C26" s="13" t="s">
        <x:v>1517</x:v>
      </x:c>
      <x:c r="D26" s="13" t="s">
        <x:v>1503</x:v>
      </x:c>
      <x:c r="E26" s="13" t="s">
        <x:v>1518</x:v>
      </x:c>
      <x:c r="F26" s="13" t="s">
        <x:v>1519</x:v>
      </x:c>
      <x:c r="G26" s="13" t="s">
        <x:v>1209</x:v>
      </x:c>
      <x:c r="H26" s="17" t="s">
        <x:v>5</x:v>
      </x:c>
    </x:row>
    <x:row r="27" ht="69.75">
      <x:c r="A27" s="17" t="s">
        <x:v>260</x:v>
      </x:c>
      <x:c r="B27" s="16" t="s">
        <x:v>1520</x:v>
      </x:c>
      <x:c r="C27" s="13" t="s">
        <x:v>1521</x:v>
      </x:c>
      <x:c r="D27" s="13" t="s">
        <x:v>1503</x:v>
      </x:c>
      <x:c r="E27" s="13" t="s">
        <x:v>1508</x:v>
      </x:c>
      <x:c r="F27" s="13" t="s">
        <x:v>1522</x:v>
      </x:c>
      <x:c r="G27" s="13" t="s">
        <x:v>1209</x:v>
      </x:c>
      <x:c r="H27" s="17" t="s">
        <x:v>5</x:v>
      </x:c>
    </x:row>
  </x:sheetData>
  <x:mergeCells>
    <x:mergeCell ref="A11:H11"/>
    <x:mergeCell ref="B13:F13"/>
    <x:mergeCell ref="B14:F14"/>
    <x:mergeCell ref="B15:F15"/>
    <x:mergeCell ref="B16:H16"/>
    <x:mergeCell ref="B17:H17"/>
    <x:mergeCell ref="A19:A20"/>
    <x:mergeCell ref="B19:B20"/>
    <x:mergeCell ref="C19:E19"/>
    <x:mergeCell ref="F19:F20"/>
    <x:mergeCell ref="G19:G20"/>
    <x:mergeCell ref="H19:H20"/>
  </x:mergeCells>
  <x:conditionalFormatting sqref="H21:H27">
    <x:cfRule type="cellIs" dxfId="29" priority="1" operator="equal">
      <x:formula>"Pass"</x:formula>
    </x:cfRule>
    <x:cfRule type="cellIs" dxfId="28" priority="2" operator="equal">
      <x:formula>"Fail"</x:formula>
    </x:cfRule>
    <x:cfRule type="cellIs" dxfId="27" priority="3" operator="equal">
      <x:formula>"Block"</x:formula>
    </x:cfRule>
  </x:conditionalFormatting>
  <x:dataValidations count="1">
    <x:dataValidation type="list" allowBlank="1" sqref="H21:H27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4" width="17.5" style="8" customWidth="1"/>
    <x:col min="5" max="5" width="40.25" style="8" customWidth="1"/>
    <x:col min="6" max="6" width="31.125" style="8" customWidth="1"/>
    <x:col min="7" max="7" width="14.875" style="8" customWidth="1"/>
    <x:col min="8" max="8" width="12.25" style="8" customWidth="1"/>
    <x:col min="9" max="9" width="14.625" style="8" customWidth="1"/>
    <x:col min="10" max="16384" width="7.625" style="8" customWidth="0"/>
  </x:cols>
  <x:sheetData>
    <x:row r="1" ht="24">
      <x:c r="A1" s="32" t="s">
        <x:v>100</x:v>
      </x:c>
      <x:c r="B1" s="32"/>
      <x:c r="C1" s="32"/>
      <x:c r="D1" s="32"/>
      <x:c r="E1" s="32"/>
      <x:c r="F1" s="32"/>
      <x:c r="G1" s="32"/>
      <x:c r="H1" s="32"/>
      <x:c r="I1" s="32"/>
    </x:row>
    <x:row r="2" ht="24">
      <x:c r="A2" s="9" t="s">
        <x:v>101</x:v>
      </x:c>
      <x:c r="E2" s="33" t="s">
        <x:v>102</x:v>
      </x:c>
      <x:c r="F2" s="33"/>
    </x:row>
    <x:row r="3" ht="24">
      <x:c r="A3" s="10" t="s">
        <x:v>103</x:v>
      </x:c>
      <x:c r="B3" s="34" t="s">
        <x:v>104</x:v>
      </x:c>
      <x:c r="C3" s="34"/>
      <x:c r="E3" s="10" t="s">
        <x:v>103</x:v>
      </x:c>
      <x:c r="F3" s="34" t="s">
        <x:v>104</x:v>
      </x:c>
      <x:c r="G3" s="34"/>
      <x:c r="H3" s="34"/>
      <x:c r="I3" s="34"/>
    </x:row>
    <x:row r="4" ht="24">
      <x:c r="A4" s="11" t="s">
        <x:v>105</x:v>
      </x:c>
      <x:c r="B4" s="31" t="s">
        <x:v>1523</x:v>
      </x:c>
      <x:c r="C4" s="31"/>
      <x:c r="E4" s="11" t="s">
        <x:v>107</x:v>
      </x:c>
      <x:c r="F4" s="31" t="s">
        <x:v>1524</x:v>
      </x:c>
      <x:c r="G4" s="31"/>
      <x:c r="H4" s="31"/>
      <x:c r="I4" s="31"/>
    </x:row>
    <x:row r="5" ht="24">
      <x:c r="A5" s="11" t="s">
        <x:v>109</x:v>
      </x:c>
      <x:c r="B5" s="31" t="s">
        <x:v>1525</x:v>
      </x:c>
      <x:c r="C5" s="31"/>
      <x:c r="E5" s="11" t="s">
        <x:v>111</x:v>
      </x:c>
      <x:c r="F5" s="31" t="s">
        <x:v>1526</x:v>
      </x:c>
      <x:c r="G5" s="31"/>
      <x:c r="H5" s="31"/>
      <x:c r="I5" s="31"/>
    </x:row>
    <x:row r="6" ht="24">
      <x:c r="E6" s="11" t="s">
        <x:v>115</x:v>
      </x:c>
      <x:c r="F6" s="31" t="s">
        <x:v>1527</x:v>
      </x:c>
      <x:c r="G6" s="31"/>
      <x:c r="H6" s="31"/>
      <x:c r="I6" s="31"/>
    </x:row>
    <x:row r="8">
      <x:c r="A8" s="30" t="s">
        <x:v>143</x:v>
      </x:c>
      <x:c r="B8" s="30"/>
      <x:c r="C8" s="30"/>
      <x:c r="D8" s="30"/>
      <x:c r="E8" s="30"/>
      <x:c r="F8" s="30"/>
      <x:c r="G8" s="30"/>
      <x:c r="H8" s="30"/>
      <x:c r="I8" s="30"/>
    </x:row>
    <x:row r="10">
      <x:c r="A10" s="12" t="s">
        <x:v>144</x:v>
      </x:c>
      <x:c r="B10" s="28" t="s">
        <x:v>1528</x:v>
      </x:c>
      <x:c r="C10" s="28"/>
      <x:c r="D10" s="28"/>
      <x:c r="E10" s="28"/>
      <x:c r="F10" s="21"/>
      <x:c r="G10" s="21"/>
      <x:c r="H10" s="12" t="s">
        <x:v>146</x:v>
      </x:c>
      <x:c r="I10" s="14" t="s">
        <x:v>147</x:v>
      </x:c>
    </x:row>
    <x:row r="11">
      <x:c r="A11" s="12" t="s">
        <x:v>148</x:v>
      </x:c>
      <x:c r="B11" s="28" t="s">
        <x:v>149</x:v>
      </x:c>
      <x:c r="C11" s="28"/>
      <x:c r="D11" s="28"/>
      <x:c r="E11" s="28"/>
      <x:c r="F11" s="21"/>
      <x:c r="G11" s="21"/>
      <x:c r="H11" s="12" t="s">
        <x:v>150</x:v>
      </x:c>
      <x:c r="I11" s="14" t="s">
        <x:v>78</x:v>
      </x:c>
    </x:row>
    <x:row r="12" ht="46.5">
      <x:c r="A12" s="12" t="s">
        <x:v>151</x:v>
      </x:c>
      <x:c r="B12" s="28" t="s">
        <x:v>152</x:v>
      </x:c>
      <x:c r="C12" s="28"/>
      <x:c r="D12" s="28"/>
      <x:c r="E12" s="28"/>
      <x:c r="F12" s="21"/>
      <x:c r="G12" s="21"/>
      <x:c r="H12" s="12" t="s">
        <x:v>153</x:v>
      </x:c>
      <x:c r="I12" s="13" t="s">
        <x:v>77</x:v>
      </x:c>
    </x:row>
    <x:row r="13" ht="46.5">
      <x:c r="A13" s="12" t="s">
        <x:v>154</x:v>
      </x:c>
      <x:c r="B13" s="28" t="s">
        <x:v>1529</x:v>
      </x:c>
      <x:c r="C13" s="28"/>
      <x:c r="D13" s="28"/>
      <x:c r="E13" s="28"/>
      <x:c r="F13" s="28"/>
      <x:c r="G13" s="28"/>
      <x:c r="H13" s="28"/>
      <x:c r="I13" s="28"/>
    </x:row>
    <x:row r="14" ht="46.5">
      <x:c r="A14" s="12" t="s">
        <x:v>156</x:v>
      </x:c>
      <x:c r="B14" s="28" t="s">
        <x:v>1530</x:v>
      </x:c>
      <x:c r="C14" s="28"/>
      <x:c r="D14" s="28"/>
      <x:c r="E14" s="28"/>
      <x:c r="F14" s="28"/>
      <x:c r="G14" s="28"/>
      <x:c r="H14" s="28"/>
      <x:c r="I14" s="28"/>
    </x:row>
    <x:row r="16">
      <x:c r="A16" s="29" t="s">
        <x:v>158</x:v>
      </x:c>
      <x:c r="B16" s="29" t="s">
        <x:v>159</x:v>
      </x:c>
      <x:c r="C16" s="29"/>
      <x:c r="D16" s="29"/>
      <x:c r="E16" s="29" t="s">
        <x:v>160</x:v>
      </x:c>
      <x:c r="F16" s="29" t="s">
        <x:v>161</x:v>
      </x:c>
      <x:c r="G16" s="29" t="s">
        <x:v>162</x:v>
      </x:c>
    </x:row>
    <x:row r="17">
      <x:c r="A17" s="29"/>
      <x:c r="B17" s="15" t="s">
        <x:v>1531</x:v>
      </x:c>
      <x:c r="C17" s="15" t="s">
        <x:v>1532</x:v>
      </x:c>
      <x:c r="D17" s="15" t="s">
        <x:v>1236</x:v>
      </x:c>
      <x:c r="E17" s="29"/>
      <x:c r="F17" s="29"/>
      <x:c r="G17" s="29"/>
    </x:row>
    <x:row r="18" ht="69.75">
      <x:c r="A18" s="16" t="s">
        <x:v>1533</x:v>
      </x:c>
      <x:c r="B18" s="13" t="s">
        <x:v>1534</x:v>
      </x:c>
      <x:c r="C18" s="13" t="s">
        <x:v>1535</x:v>
      </x:c>
      <x:c r="D18" s="13" t="s">
        <x:v>1536</x:v>
      </x:c>
      <x:c r="E18" s="13" t="s">
        <x:v>1537</x:v>
      </x:c>
      <x:c r="F18" s="13" t="s">
        <x:v>1538</x:v>
      </x:c>
      <x:c r="G18" s="17" t="s">
        <x:v>5</x:v>
      </x:c>
    </x:row>
    <x:row r="19">
      <x:c r="A19" s="16" t="s">
        <x:v>1539</x:v>
      </x:c>
      <x:c r="B19" s="13" t="s">
        <x:v>1540</x:v>
      </x:c>
      <x:c r="C19" s="13" t="s">
        <x:v>1541</x:v>
      </x:c>
      <x:c r="D19" s="13" t="s">
        <x:v>1536</x:v>
      </x:c>
      <x:c r="E19" s="13" t="s">
        <x:v>1542</x:v>
      </x:c>
      <x:c r="F19" s="13" t="s">
        <x:v>1543</x:v>
      </x:c>
      <x:c r="G19" s="17" t="s">
        <x:v>5</x:v>
      </x:c>
    </x:row>
    <x:row r="20" ht="46.5">
      <x:c r="A20" s="16" t="s">
        <x:v>1544</x:v>
      </x:c>
      <x:c r="B20" s="13" t="s">
        <x:v>1502</x:v>
      </x:c>
      <x:c r="C20" s="13" t="s">
        <x:v>1535</x:v>
      </x:c>
      <x:c r="D20" s="13" t="s">
        <x:v>1545</x:v>
      </x:c>
      <x:c r="E20" s="13" t="s">
        <x:v>1546</x:v>
      </x:c>
      <x:c r="F20" s="13" t="s">
        <x:v>249</x:v>
      </x:c>
      <x:c r="G20" s="17" t="s">
        <x:v>5</x:v>
      </x:c>
    </x:row>
    <x:row r="21" ht="46.5">
      <x:c r="A21" s="16" t="s">
        <x:v>1547</x:v>
      </x:c>
      <x:c r="B21" s="13" t="s">
        <x:v>1534</x:v>
      </x:c>
      <x:c r="C21" s="13" t="s">
        <x:v>1517</x:v>
      </x:c>
      <x:c r="D21" s="13" t="s">
        <x:v>1548</x:v>
      </x:c>
      <x:c r="E21" s="13" t="s">
        <x:v>1549</x:v>
      </x:c>
      <x:c r="F21" s="13" t="s">
        <x:v>249</x:v>
      </x:c>
      <x:c r="G21" s="17" t="s">
        <x:v>5</x:v>
      </x:c>
    </x:row>
    <x:row r="22" ht="46.5">
      <x:c r="A22" s="16" t="s">
        <x:v>1550</x:v>
      </x:c>
      <x:c r="B22" s="13" t="s">
        <x:v>1502</x:v>
      </x:c>
      <x:c r="C22" s="13" t="s">
        <x:v>1517</x:v>
      </x:c>
      <x:c r="D22" s="13" t="s">
        <x:v>1551</x:v>
      </x:c>
      <x:c r="E22" s="13" t="s">
        <x:v>1552</x:v>
      </x:c>
      <x:c r="F22" s="13" t="s">
        <x:v>249</x:v>
      </x:c>
      <x:c r="G22" s="17" t="s">
        <x:v>5</x:v>
      </x:c>
    </x:row>
  </x:sheetData>
  <x:mergeCells>
    <x:mergeCell ref="B11:E11"/>
    <x:mergeCell ref="A1:I1"/>
    <x:mergeCell ref="E2:F2"/>
    <x:mergeCell ref="B3:C3"/>
    <x:mergeCell ref="F3:I3"/>
    <x:mergeCell ref="B4:C4"/>
    <x:mergeCell ref="F4:I4"/>
    <x:mergeCell ref="B5:C5"/>
    <x:mergeCell ref="F5:I5"/>
    <x:mergeCell ref="F6:I6"/>
    <x:mergeCell ref="A8:I8"/>
    <x:mergeCell ref="B10:E10"/>
    <x:mergeCell ref="B12:E12"/>
    <x:mergeCell ref="B13:I13"/>
    <x:mergeCell ref="B14:I14"/>
    <x:mergeCell ref="A16:A17"/>
    <x:mergeCell ref="B16:D16"/>
    <x:mergeCell ref="E16:E17"/>
    <x:mergeCell ref="F16:F17"/>
    <x:mergeCell ref="G16:G17"/>
  </x:mergeCells>
  <x:conditionalFormatting sqref="G18:G22">
    <x:cfRule type="cellIs" dxfId="26" priority="1" operator="equal">
      <x:formula>"Pass"</x:formula>
    </x:cfRule>
    <x:cfRule type="cellIs" dxfId="25" priority="2" operator="equal">
      <x:formula>"Fail"</x:formula>
    </x:cfRule>
    <x:cfRule type="cellIs" dxfId="24" priority="3" operator="equal">
      <x:formula>"Block"</x:formula>
    </x:cfRule>
  </x:conditionalFormatting>
  <x:dataValidations count="1">
    <x:dataValidation type="list" allowBlank="1" sqref="G18:G22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ColWidth="7.625" defaultRowHeight="23.25"/>
  <x:cols>
    <x:col min="1" max="1" width="29.75" style="8" customWidth="1"/>
    <x:col min="2" max="2" width="14" style="8" customWidth="1"/>
    <x:col min="3" max="5" width="15.75" style="8" customWidth="1"/>
    <x:col min="6" max="6" width="38.5" style="8" customWidth="1"/>
    <x:col min="7" max="7" width="32.5" style="8" customWidth="1"/>
    <x:col min="8" max="8" width="16.875" style="8" customWidth="1"/>
    <x:col min="9" max="16384" width="7.625" style="8" customWidth="0"/>
  </x:cols>
  <x:sheetData>
    <x:row r="1">
      <x:c r="A1" s="18" t="s">
        <x:v>104</x:v>
      </x:c>
      <x:c r="B1" s="19" t="s">
        <x:v>212</x:v>
      </x:c>
      <x:c r="C1" s="19" t="s">
        <x:v>213</x:v>
      </x:c>
      <x:c r="D1" s="19" t="s">
        <x:v>214</x:v>
      </x:c>
      <x:c r="E1" s="19" t="s">
        <x:v>215</x:v>
      </x:c>
      <x:c r="F1" s="19" t="s">
        <x:v>216</x:v>
      </x:c>
      <x:c r="G1" s="19" t="s">
        <x:v>217</x:v>
      </x:c>
      <x:c r="H1" s="19" t="s">
        <x:v>218</x:v>
      </x:c>
    </x:row>
    <x:row r="2">
      <x:c r="A2" s="13" t="s">
        <x:v>1553</x:v>
      </x:c>
      <x:c r="B2" s="17" t="s">
        <x:v>222</x:v>
      </x:c>
      <x:c r="C2" s="17" t="s">
        <x:v>221</x:v>
      </x:c>
      <x:c r="D2" s="17" t="s">
        <x:v>221</x:v>
      </x:c>
      <x:c r="E2" s="17" t="s">
        <x:v>221</x:v>
      </x:c>
      <x:c r="F2" s="17" t="s">
        <x:v>221</x:v>
      </x:c>
      <x:c r="G2" s="17" t="s">
        <x:v>221</x:v>
      </x:c>
      <x:c r="H2" s="17" t="s">
        <x:v>221</x:v>
      </x:c>
    </x:row>
    <x:row r="3">
      <x:c r="A3" s="13" t="s">
        <x:v>1554</x:v>
      </x:c>
      <x:c r="B3" s="17" t="s">
        <x:v>171</x:v>
      </x:c>
      <x:c r="C3" s="17" t="s">
        <x:v>221</x:v>
      </x:c>
      <x:c r="D3" s="17" t="s">
        <x:v>222</x:v>
      </x:c>
      <x:c r="E3" s="17" t="s">
        <x:v>222</x:v>
      </x:c>
      <x:c r="F3" s="17" t="s">
        <x:v>222</x:v>
      </x:c>
      <x:c r="G3" s="17" t="s">
        <x:v>222</x:v>
      </x:c>
      <x:c r="H3" s="17" t="s">
        <x:v>222</x:v>
      </x:c>
    </x:row>
    <x:row r="4">
      <x:c r="A4" s="13" t="s">
        <x:v>1555</x:v>
      </x:c>
      <x:c r="B4" s="17" t="s">
        <x:v>171</x:v>
      </x:c>
      <x:c r="C4" s="17" t="s">
        <x:v>171</x:v>
      </x:c>
      <x:c r="D4" s="17" t="s">
        <x:v>221</x:v>
      </x:c>
      <x:c r="E4" s="17" t="s">
        <x:v>222</x:v>
      </x:c>
      <x:c r="F4" s="17" t="s">
        <x:v>222</x:v>
      </x:c>
      <x:c r="G4" s="17" t="s">
        <x:v>222</x:v>
      </x:c>
      <x:c r="H4" s="17" t="s">
        <x:v>222</x:v>
      </x:c>
    </x:row>
    <x:row r="5">
      <x:c r="A5" s="13" t="s">
        <x:v>1556</x:v>
      </x:c>
      <x:c r="B5" s="17" t="s">
        <x:v>171</x:v>
      </x:c>
      <x:c r="C5" s="17" t="s">
        <x:v>171</x:v>
      </x:c>
      <x:c r="D5" s="17" t="s">
        <x:v>171</x:v>
      </x:c>
      <x:c r="E5" s="17" t="s">
        <x:v>221</x:v>
      </x:c>
      <x:c r="F5" s="17" t="s">
        <x:v>221</x:v>
      </x:c>
      <x:c r="G5" s="17" t="s">
        <x:v>222</x:v>
      </x:c>
      <x:c r="H5" s="17" t="s">
        <x:v>222</x:v>
      </x:c>
    </x:row>
    <x:row r="6">
      <x:c r="A6" s="13" t="s">
        <x:v>1557</x:v>
      </x:c>
      <x:c r="B6" s="17" t="s">
        <x:v>171</x:v>
      </x:c>
      <x:c r="C6" s="17" t="s">
        <x:v>171</x:v>
      </x:c>
      <x:c r="D6" s="17" t="s">
        <x:v>171</x:v>
      </x:c>
      <x:c r="E6" s="17" t="s">
        <x:v>222</x:v>
      </x:c>
      <x:c r="F6" s="17" t="s">
        <x:v>221</x:v>
      </x:c>
      <x:c r="G6" s="17" t="s">
        <x:v>171</x:v>
      </x:c>
      <x:c r="H6" s="17" t="s">
        <x:v>171</x:v>
      </x:c>
    </x:row>
    <x:row r="7">
      <x:c r="A7" s="13" t="s">
        <x:v>1558</x:v>
      </x:c>
      <x:c r="B7" s="17" t="s">
        <x:v>171</x:v>
      </x:c>
      <x:c r="C7" s="17" t="s">
        <x:v>171</x:v>
      </x:c>
      <x:c r="D7" s="17" t="s">
        <x:v>171</x:v>
      </x:c>
      <x:c r="E7" s="17" t="s">
        <x:v>171</x:v>
      </x:c>
      <x:c r="F7" s="17" t="s">
        <x:v>171</x:v>
      </x:c>
      <x:c r="G7" s="17" t="s">
        <x:v>221</x:v>
      </x:c>
      <x:c r="H7" s="17" t="s">
        <x:v>222</x:v>
      </x:c>
    </x:row>
    <x:row r="8">
      <x:c r="A8" s="18" t="s">
        <x:v>229</x:v>
      </x:c>
      <x:c r="B8" s="20"/>
      <x:c r="C8" s="20"/>
      <x:c r="D8" s="20"/>
      <x:c r="E8" s="20"/>
      <x:c r="F8" s="20"/>
      <x:c r="G8" s="20"/>
      <x:c r="H8" s="20"/>
    </x:row>
    <x:row r="9">
      <x:c r="A9" s="13" t="s">
        <x:v>1559</x:v>
      </x:c>
      <x:c r="B9" s="17" t="s">
        <x:v>231</x:v>
      </x:c>
      <x:c r="C9" s="17"/>
      <x:c r="D9" s="17"/>
      <x:c r="E9" s="17"/>
      <x:c r="F9" s="17"/>
      <x:c r="G9" s="17"/>
      <x:c r="H9" s="17"/>
    </x:row>
    <x:row r="10">
      <x:c r="A10" s="13" t="s">
        <x:v>1560</x:v>
      </x:c>
      <x:c r="B10" s="17"/>
      <x:c r="C10" s="17" t="s">
        <x:v>231</x:v>
      </x:c>
      <x:c r="D10" s="17" t="s">
        <x:v>231</x:v>
      </x:c>
      <x:c r="E10" s="17"/>
      <x:c r="F10" s="17"/>
      <x:c r="G10" s="17"/>
      <x:c r="H10" s="17"/>
    </x:row>
    <x:row r="11" ht="46.5">
      <x:c r="A11" s="13" t="s">
        <x:v>1561</x:v>
      </x:c>
      <x:c r="B11" s="17"/>
      <x:c r="C11" s="17"/>
      <x:c r="D11" s="17"/>
      <x:c r="E11" s="17" t="s">
        <x:v>231</x:v>
      </x:c>
      <x:c r="F11" s="17"/>
      <x:c r="G11" s="17"/>
      <x:c r="H11" s="17"/>
    </x:row>
    <x:row r="12">
      <x:c r="A12" s="13" t="s">
        <x:v>1562</x:v>
      </x:c>
      <x:c r="B12" s="17"/>
      <x:c r="C12" s="17"/>
      <x:c r="D12" s="17"/>
      <x:c r="E12" s="17"/>
      <x:c r="F12" s="17" t="s">
        <x:v>231</x:v>
      </x:c>
      <x:c r="G12" s="17"/>
      <x:c r="H12" s="17"/>
    </x:row>
    <x:row r="13">
      <x:c r="A13" s="13" t="s">
        <x:v>1563</x:v>
      </x:c>
      <x:c r="B13" s="17"/>
      <x:c r="C13" s="17"/>
      <x:c r="D13" s="17"/>
      <x:c r="E13" s="17"/>
      <x:c r="F13" s="17" t="s">
        <x:v>231</x:v>
      </x:c>
      <x:c r="G13" s="17" t="s">
        <x:v>231</x:v>
      </x:c>
      <x:c r="H13" s="17" t="s">
        <x:v>231</x:v>
      </x:c>
    </x:row>
    <x:row r="14" ht="46.5">
      <x:c r="A14" s="13" t="s">
        <x:v>1564</x:v>
      </x:c>
      <x:c r="B14" s="17"/>
      <x:c r="C14" s="17"/>
      <x:c r="D14" s="17"/>
      <x:c r="E14" s="17"/>
      <x:c r="F14" s="17"/>
      <x:c r="G14" s="17" t="s">
        <x:v>231</x:v>
      </x:c>
      <x:c r="H14" s="17"/>
    </x:row>
    <x:row r="15">
      <x:c r="A15" s="13" t="s">
        <x:v>237</x:v>
      </x:c>
      <x:c r="B15" s="17"/>
      <x:c r="C15" s="17"/>
      <x:c r="D15" s="17"/>
      <x:c r="E15" s="17"/>
      <x:c r="F15" s="17"/>
      <x:c r="G15" s="17"/>
      <x:c r="H15" s="17"/>
    </x:row>
    <x:row r="17">
      <x:c r="A17" s="30" t="s">
        <x:v>143</x:v>
      </x:c>
      <x:c r="B17" s="30"/>
      <x:c r="C17" s="30"/>
      <x:c r="D17" s="30"/>
      <x:c r="E17" s="30"/>
      <x:c r="F17" s="30"/>
      <x:c r="G17" s="30"/>
      <x:c r="H17" s="30"/>
    </x:row>
    <x:row r="19">
      <x:c r="A19" s="12" t="s">
        <x:v>144</x:v>
      </x:c>
      <x:c r="B19" s="28" t="s">
        <x:v>1565</x:v>
      </x:c>
      <x:c r="C19" s="28"/>
      <x:c r="D19" s="28"/>
      <x:c r="E19" s="28"/>
      <x:c r="F19" s="28"/>
      <x:c r="G19" s="12" t="s">
        <x:v>146</x:v>
      </x:c>
      <x:c r="H19" s="14" t="s">
        <x:v>147</x:v>
      </x:c>
    </x:row>
    <x:row r="20">
      <x:c r="A20" s="12" t="s">
        <x:v>148</x:v>
      </x:c>
      <x:c r="B20" s="28" t="s">
        <x:v>240</x:v>
      </x:c>
      <x:c r="C20" s="28"/>
      <x:c r="D20" s="28"/>
      <x:c r="E20" s="28"/>
      <x:c r="F20" s="28"/>
      <x:c r="G20" s="12" t="s">
        <x:v>150</x:v>
      </x:c>
      <x:c r="H20" s="14" t="s">
        <x:v>78</x:v>
      </x:c>
    </x:row>
    <x:row r="21">
      <x:c r="A21" s="12" t="s">
        <x:v>151</x:v>
      </x:c>
      <x:c r="B21" s="28" t="s">
        <x:v>152</x:v>
      </x:c>
      <x:c r="C21" s="28"/>
      <x:c r="D21" s="28"/>
      <x:c r="E21" s="28"/>
      <x:c r="F21" s="28"/>
      <x:c r="G21" s="12" t="s">
        <x:v>153</x:v>
      </x:c>
      <x:c r="H21" s="13" t="s">
        <x:v>77</x:v>
      </x:c>
    </x:row>
    <x:row r="22">
      <x:c r="A22" s="12" t="s">
        <x:v>154</x:v>
      </x:c>
      <x:c r="B22" s="28" t="s">
        <x:v>1566</x:v>
      </x:c>
      <x:c r="C22" s="28"/>
      <x:c r="D22" s="28"/>
      <x:c r="E22" s="28"/>
      <x:c r="F22" s="28"/>
      <x:c r="G22" s="28"/>
      <x:c r="H22" s="28"/>
    </x:row>
    <x:row r="23">
      <x:c r="A23" s="12" t="s">
        <x:v>156</x:v>
      </x:c>
      <x:c r="B23" s="28" t="s">
        <x:v>1567</x:v>
      </x:c>
      <x:c r="C23" s="28"/>
      <x:c r="D23" s="28"/>
      <x:c r="E23" s="28"/>
      <x:c r="F23" s="28"/>
      <x:c r="G23" s="28"/>
      <x:c r="H23" s="28"/>
    </x:row>
    <x:row r="25">
      <x:c r="A25" s="29" t="s">
        <x:v>243</x:v>
      </x:c>
      <x:c r="B25" s="29" t="s">
        <x:v>158</x:v>
      </x:c>
      <x:c r="C25" s="29" t="s">
        <x:v>159</x:v>
      </x:c>
      <x:c r="D25" s="29"/>
      <x:c r="E25" s="29"/>
      <x:c r="F25" s="29" t="s">
        <x:v>160</x:v>
      </x:c>
      <x:c r="G25" s="29" t="s">
        <x:v>161</x:v>
      </x:c>
      <x:c r="H25" s="29" t="s">
        <x:v>162</x:v>
      </x:c>
    </x:row>
    <x:row r="26">
      <x:c r="A26" s="29"/>
      <x:c r="B26" s="29"/>
      <x:c r="C26" s="15" t="s">
        <x:v>1568</x:v>
      </x:c>
      <x:c r="D26" s="15" t="s">
        <x:v>1160</x:v>
      </x:c>
      <x:c r="E26" s="15" t="s">
        <x:v>1236</x:v>
      </x:c>
      <x:c r="F26" s="29"/>
      <x:c r="G26" s="29"/>
      <x:c r="H26" s="29"/>
    </x:row>
    <x:row r="27">
      <x:c r="A27" s="17" t="s">
        <x:v>246</x:v>
      </x:c>
      <x:c r="B27" s="16" t="s">
        <x:v>1569</x:v>
      </x:c>
      <x:c r="C27" s="13" t="s">
        <x:v>190</x:v>
      </x:c>
      <x:c r="D27" s="13" t="s">
        <x:v>1570</x:v>
      </x:c>
      <x:c r="E27" s="13" t="s">
        <x:v>171</x:v>
      </x:c>
      <x:c r="F27" s="13" t="s">
        <x:v>185</x:v>
      </x:c>
      <x:c r="G27" s="13" t="s">
        <x:v>185</x:v>
      </x:c>
      <x:c r="H27" s="17" t="s">
        <x:v>5</x:v>
      </x:c>
    </x:row>
    <x:row r="28" ht="69.75">
      <x:c r="A28" s="17" t="s">
        <x:v>252</x:v>
      </x:c>
      <x:c r="B28" s="16" t="s">
        <x:v>1571</x:v>
      </x:c>
      <x:c r="C28" s="13" t="s">
        <x:v>172</x:v>
      </x:c>
      <x:c r="D28" s="13" t="s">
        <x:v>1572</x:v>
      </x:c>
      <x:c r="E28" s="13" t="s">
        <x:v>1573</x:v>
      </x:c>
      <x:c r="F28" s="13" t="s">
        <x:v>1574</x:v>
      </x:c>
      <x:c r="G28" s="13" t="s">
        <x:v>249</x:v>
      </x:c>
      <x:c r="H28" s="17" t="s">
        <x:v>5</x:v>
      </x:c>
    </x:row>
    <x:row r="29" ht="46.5">
      <x:c r="A29" s="17" t="s">
        <x:v>256</x:v>
      </x:c>
      <x:c r="B29" s="16" t="s">
        <x:v>1575</x:v>
      </x:c>
      <x:c r="C29" s="13" t="s">
        <x:v>172</x:v>
      </x:c>
      <x:c r="D29" s="13" t="s">
        <x:v>1576</x:v>
      </x:c>
      <x:c r="E29" s="13" t="s">
        <x:v>1577</x:v>
      </x:c>
      <x:c r="F29" s="13" t="s">
        <x:v>1578</x:v>
      </x:c>
      <x:c r="G29" s="13" t="s">
        <x:v>249</x:v>
      </x:c>
      <x:c r="H29" s="17" t="s">
        <x:v>5</x:v>
      </x:c>
    </x:row>
    <x:row r="30" ht="93">
      <x:c r="A30" s="17" t="s">
        <x:v>260</x:v>
      </x:c>
      <x:c r="B30" s="16" t="s">
        <x:v>1579</x:v>
      </x:c>
      <x:c r="C30" s="13" t="s">
        <x:v>172</x:v>
      </x:c>
      <x:c r="D30" s="13" t="s">
        <x:v>1580</x:v>
      </x:c>
      <x:c r="E30" s="13" t="s">
        <x:v>171</x:v>
      </x:c>
      <x:c r="F30" s="13" t="s">
        <x:v>1581</x:v>
      </x:c>
      <x:c r="G30" s="13" t="s">
        <x:v>188</x:v>
      </x:c>
      <x:c r="H30" s="17" t="s">
        <x:v>5</x:v>
      </x:c>
    </x:row>
    <x:row r="31" ht="69.75">
      <x:c r="A31" s="17" t="s">
        <x:v>260</x:v>
      </x:c>
      <x:c r="B31" s="16" t="s">
        <x:v>1582</x:v>
      </x:c>
      <x:c r="C31" s="13" t="s">
        <x:v>172</x:v>
      </x:c>
      <x:c r="D31" s="13" t="s">
        <x:v>1583</x:v>
      </x:c>
      <x:c r="E31" s="13" t="s">
        <x:v>171</x:v>
      </x:c>
      <x:c r="F31" s="13" t="s">
        <x:v>188</x:v>
      </x:c>
      <x:c r="G31" s="13" t="s">
        <x:v>188</x:v>
      </x:c>
      <x:c r="H31" s="17" t="s">
        <x:v>5</x:v>
      </x:c>
    </x:row>
    <x:row r="32" ht="93">
      <x:c r="A32" s="17" t="s">
        <x:v>268</x:v>
      </x:c>
      <x:c r="B32" s="16" t="s">
        <x:v>1584</x:v>
      </x:c>
      <x:c r="C32" s="13" t="s">
        <x:v>172</x:v>
      </x:c>
      <x:c r="D32" s="13" t="s">
        <x:v>1585</x:v>
      </x:c>
      <x:c r="E32" s="13" t="s">
        <x:v>171</x:v>
      </x:c>
      <x:c r="F32" s="13" t="s">
        <x:v>1586</x:v>
      </x:c>
      <x:c r="G32" s="13" t="s">
        <x:v>1586</x:v>
      </x:c>
      <x:c r="H32" s="17" t="s">
        <x:v>5</x:v>
      </x:c>
    </x:row>
    <x:row r="33" ht="93">
      <x:c r="A33" s="17" t="s">
        <x:v>273</x:v>
      </x:c>
      <x:c r="B33" s="16" t="s">
        <x:v>1587</x:v>
      </x:c>
      <x:c r="C33" s="13" t="s">
        <x:v>1588</x:v>
      </x:c>
      <x:c r="D33" s="13" t="s">
        <x:v>1589</x:v>
      </x:c>
      <x:c r="E33" s="13" t="s">
        <x:v>171</x:v>
      </x:c>
      <x:c r="F33" s="13" t="s">
        <x:v>1590</x:v>
      </x:c>
      <x:c r="G33" s="13" t="s">
        <x:v>1590</x:v>
      </x:c>
      <x:c r="H33" s="17" t="s">
        <x:v>5</x:v>
      </x:c>
    </x:row>
    <x:row r="34" ht="46.5">
      <x:c r="A34" s="17" t="s">
        <x:v>278</x:v>
      </x:c>
      <x:c r="B34" s="16" t="s">
        <x:v>1591</x:v>
      </x:c>
      <x:c r="C34" s="13" t="s">
        <x:v>1592</x:v>
      </x:c>
      <x:c r="D34" s="13" t="s">
        <x:v>1593</x:v>
      </x:c>
      <x:c r="E34" s="13" t="s">
        <x:v>171</x:v>
      </x:c>
      <x:c r="F34" s="13" t="s">
        <x:v>1594</x:v>
      </x:c>
      <x:c r="G34" s="13" t="s">
        <x:v>1594</x:v>
      </x:c>
      <x:c r="H34" s="17" t="s">
        <x:v>5</x:v>
      </x:c>
    </x:row>
  </x:sheetData>
  <x:mergeCells>
    <x:mergeCell ref="A17:H17"/>
    <x:mergeCell ref="B19:F19"/>
    <x:mergeCell ref="B20:F20"/>
    <x:mergeCell ref="B21:F21"/>
    <x:mergeCell ref="B22:H22"/>
    <x:mergeCell ref="B23:H23"/>
    <x:mergeCell ref="A25:A26"/>
    <x:mergeCell ref="B25:B26"/>
    <x:mergeCell ref="C25:E25"/>
    <x:mergeCell ref="F25:F26"/>
    <x:mergeCell ref="G25:G26"/>
    <x:mergeCell ref="H25:H26"/>
  </x:mergeCells>
  <x:conditionalFormatting sqref="H27:H34">
    <x:cfRule type="cellIs" dxfId="23" priority="1" operator="equal">
      <x:formula>"Pass"</x:formula>
    </x:cfRule>
    <x:cfRule type="cellIs" dxfId="22" priority="2" operator="equal">
      <x:formula>"Fail"</x:formula>
    </x:cfRule>
    <x:cfRule type="cellIs" dxfId="21" priority="3" operator="equal">
      <x:formula>"Block"</x:formula>
    </x:cfRule>
  </x:conditionalFormatting>
  <x:dataValidations count="1">
    <x:dataValidation type="list" allowBlank="1" sqref="H27:H34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ColWidth="7.625" defaultRowHeight="23.25"/>
  <x:cols>
    <x:col min="1" max="3" width="19.25" style="8" customWidth="1"/>
    <x:col min="4" max="4" width="38.5" style="8" customWidth="1"/>
    <x:col min="5" max="5" width="36.625" style="8" customWidth="1"/>
    <x:col min="6" max="6" width="14.875" style="8" customWidth="1"/>
    <x:col min="7" max="8" width="7.625" style="8" customWidth="0"/>
    <x:col min="9" max="9" width="8.75" style="8" customWidth="1"/>
    <x:col min="10" max="10" width="19.25" style="8" customWidth="1"/>
    <x:col min="11" max="16384" width="7.625" style="8" customWidth="0"/>
  </x:cols>
  <x:sheetData>
    <x:row r="1" ht="46.5">
      <x:c r="A1" s="30" t="s">
        <x:v>143</x:v>
      </x:c>
      <x:c r="B1" s="30"/>
      <x:c r="C1" s="30"/>
      <x:c r="D1" s="30"/>
      <x:c r="E1" s="30"/>
      <x:c r="F1" s="30"/>
      <x:c r="I1" s="13"/>
      <x:c r="J1" s="15" t="s">
        <x:v>1595</x:v>
      </x:c>
    </x:row>
    <x:row r="2">
      <x:c r="I2" s="17" t="s">
        <x:v>293</x:v>
      </x:c>
      <x:c r="J2" s="17" t="s">
        <x:v>1596</x:v>
      </x:c>
    </x:row>
    <x:row r="3">
      <x:c r="A3" s="12" t="s">
        <x:v>144</x:v>
      </x:c>
      <x:c r="B3" s="28" t="s">
        <x:v>1597</x:v>
      </x:c>
      <x:c r="C3" s="28"/>
      <x:c r="D3" s="28"/>
      <x:c r="E3" s="12" t="s">
        <x:v>146</x:v>
      </x:c>
      <x:c r="F3" s="14" t="s">
        <x:v>147</x:v>
      </x:c>
      <x:c r="I3" s="17" t="s">
        <x:v>299</x:v>
      </x:c>
      <x:c r="J3" s="17" t="s">
        <x:v>1598</x:v>
      </x:c>
    </x:row>
    <x:row r="4">
      <x:c r="A4" s="12" t="s">
        <x:v>148</x:v>
      </x:c>
      <x:c r="B4" s="28" t="s">
        <x:v>369</x:v>
      </x:c>
      <x:c r="C4" s="28"/>
      <x:c r="D4" s="28"/>
      <x:c r="E4" s="12" t="s">
        <x:v>150</x:v>
      </x:c>
      <x:c r="F4" s="14" t="s">
        <x:v>78</x:v>
      </x:c>
      <x:c r="I4" s="17" t="s">
        <x:v>362</x:v>
      </x:c>
      <x:c r="J4" s="17" t="s">
        <x:v>327</x:v>
      </x:c>
    </x:row>
    <x:row r="5" ht="46.5">
      <x:c r="A5" s="12" t="s">
        <x:v>151</x:v>
      </x:c>
      <x:c r="B5" s="28" t="s">
        <x:v>152</x:v>
      </x:c>
      <x:c r="C5" s="28"/>
      <x:c r="D5" s="28"/>
      <x:c r="E5" s="12" t="s">
        <x:v>153</x:v>
      </x:c>
      <x:c r="F5" s="13" t="s">
        <x:v>77</x:v>
      </x:c>
      <x:c r="I5" s="17" t="s">
        <x:v>366</x:v>
      </x:c>
      <x:c r="J5" s="17" t="s">
        <x:v>331</x:v>
      </x:c>
    </x:row>
    <x:row r="6" ht="46.5">
      <x:c r="A6" s="12" t="s">
        <x:v>154</x:v>
      </x:c>
      <x:c r="B6" s="28" t="s">
        <x:v>1599</x:v>
      </x:c>
      <x:c r="C6" s="28"/>
      <x:c r="D6" s="28"/>
      <x:c r="E6" s="28"/>
      <x:c r="F6" s="28"/>
      <x:c r="I6" s="17" t="s">
        <x:v>370</x:v>
      </x:c>
      <x:c r="J6" s="17" t="s">
        <x:v>334</x:v>
      </x:c>
    </x:row>
    <x:row r="7" ht="46.5">
      <x:c r="A7" s="12" t="s">
        <x:v>156</x:v>
      </x:c>
      <x:c r="B7" s="28" t="s">
        <x:v>1600</x:v>
      </x:c>
      <x:c r="C7" s="28"/>
      <x:c r="D7" s="28"/>
      <x:c r="E7" s="28"/>
      <x:c r="F7" s="28"/>
    </x:row>
    <x:row r="9">
      <x:c r="A9" s="29" t="s">
        <x:v>158</x:v>
      </x:c>
      <x:c r="B9" s="29" t="s">
        <x:v>159</x:v>
      </x:c>
      <x:c r="C9" s="29"/>
      <x:c r="D9" s="29" t="s">
        <x:v>160</x:v>
      </x:c>
      <x:c r="E9" s="29" t="s">
        <x:v>161</x:v>
      </x:c>
      <x:c r="F9" s="29" t="s">
        <x:v>162</x:v>
      </x:c>
    </x:row>
    <x:row r="10" ht="46.5">
      <x:c r="A10" s="29"/>
      <x:c r="B10" s="15" t="s">
        <x:v>1601</x:v>
      </x:c>
      <x:c r="C10" s="15" t="s">
        <x:v>1602</x:v>
      </x:c>
      <x:c r="D10" s="29"/>
      <x:c r="E10" s="29"/>
      <x:c r="F10" s="29"/>
    </x:row>
    <x:row r="11" ht="46.5">
      <x:c r="A11" s="16" t="s">
        <x:v>1603</x:v>
      </x:c>
      <x:c r="B11" s="13" t="s">
        <x:v>1596</x:v>
      </x:c>
      <x:c r="C11" s="13" t="s">
        <x:v>1604</x:v>
      </x:c>
      <x:c r="D11" s="13" t="s">
        <x:v>1605</x:v>
      </x:c>
      <x:c r="E11" s="13" t="s">
        <x:v>1605</x:v>
      </x:c>
      <x:c r="F11" s="17" t="s">
        <x:v>5</x:v>
      </x:c>
    </x:row>
    <x:row r="12">
      <x:c r="A12" s="16" t="s">
        <x:v>1606</x:v>
      </x:c>
      <x:c r="B12" s="13" t="s">
        <x:v>1598</x:v>
      </x:c>
      <x:c r="C12" s="13" t="s">
        <x:v>171</x:v>
      </x:c>
      <x:c r="D12" s="13" t="s">
        <x:v>1607</x:v>
      </x:c>
      <x:c r="E12" s="13" t="s">
        <x:v>1607</x:v>
      </x:c>
      <x:c r="F12" s="17" t="s">
        <x:v>5</x:v>
      </x:c>
    </x:row>
    <x:row r="13">
      <x:c r="A13" s="16" t="s">
        <x:v>1608</x:v>
      </x:c>
      <x:c r="B13" s="13" t="s">
        <x:v>327</x:v>
      </x:c>
      <x:c r="C13" s="13" t="s">
        <x:v>171</x:v>
      </x:c>
      <x:c r="D13" s="13" t="s">
        <x:v>1607</x:v>
      </x:c>
      <x:c r="E13" s="13" t="s">
        <x:v>1607</x:v>
      </x:c>
      <x:c r="F13" s="17" t="s">
        <x:v>5</x:v>
      </x:c>
    </x:row>
    <x:row r="14">
      <x:c r="A14" s="16" t="s">
        <x:v>1609</x:v>
      </x:c>
      <x:c r="B14" s="13" t="s">
        <x:v>331</x:v>
      </x:c>
      <x:c r="C14" s="13" t="s">
        <x:v>171</x:v>
      </x:c>
      <x:c r="D14" s="13" t="s">
        <x:v>1610</x:v>
      </x:c>
      <x:c r="E14" s="13" t="s">
        <x:v>1610</x:v>
      </x:c>
      <x:c r="F14" s="17" t="s">
        <x:v>5</x:v>
      </x:c>
    </x:row>
    <x:row r="15">
      <x:c r="A15" s="16" t="s">
        <x:v>1611</x:v>
      </x:c>
      <x:c r="B15" s="13" t="s">
        <x:v>334</x:v>
      </x:c>
      <x:c r="C15" s="13" t="s">
        <x:v>171</x:v>
      </x:c>
      <x:c r="D15" s="13" t="s">
        <x:v>1612</x:v>
      </x:c>
      <x:c r="E15" s="13" t="s">
        <x:v>1612</x:v>
      </x:c>
      <x:c r="F15" s="17" t="s">
        <x:v>5</x:v>
      </x:c>
    </x:row>
    <x:row r="16">
      <x:c r="A16" s="16" t="s">
        <x:v>1613</x:v>
      </x:c>
      <x:c r="B16" s="13" t="s">
        <x:v>171</x:v>
      </x:c>
      <x:c r="C16" s="13" t="s">
        <x:v>1614</x:v>
      </x:c>
      <x:c r="D16" s="13" t="s">
        <x:v>1612</x:v>
      </x:c>
      <x:c r="E16" s="13" t="s">
        <x:v>1612</x:v>
      </x:c>
      <x:c r="F16" s="17" t="s">
        <x:v>5</x:v>
      </x:c>
    </x:row>
    <x:row r="17">
      <x:c r="A17" s="16" t="s">
        <x:v>1615</x:v>
      </x:c>
      <x:c r="B17" s="13" t="s">
        <x:v>1616</x:v>
      </x:c>
      <x:c r="C17" s="13" t="s">
        <x:v>1617</x:v>
      </x:c>
      <x:c r="D17" s="13" t="s">
        <x:v>1612</x:v>
      </x:c>
      <x:c r="E17" s="13" t="s">
        <x:v>1612</x:v>
      </x:c>
      <x:c r="F17" s="17" t="s">
        <x:v>5</x:v>
      </x:c>
    </x:row>
    <x:row r="18" ht="46.5">
      <x:c r="A18" s="16" t="s">
        <x:v>1618</x:v>
      </x:c>
      <x:c r="B18" s="13" t="s">
        <x:v>1619</x:v>
      </x:c>
      <x:c r="C18" s="13" t="s">
        <x:v>1620</x:v>
      </x:c>
      <x:c r="D18" s="13" t="s">
        <x:v>1621</x:v>
      </x:c>
      <x:c r="E18" s="13" t="s">
        <x:v>1621</x:v>
      </x:c>
      <x:c r="F18" s="17" t="s">
        <x:v>5</x:v>
      </x:c>
    </x:row>
  </x:sheetData>
  <x:mergeCells>
    <x:mergeCell ref="A1:F1"/>
    <x:mergeCell ref="B3:D3"/>
    <x:mergeCell ref="B4:D4"/>
    <x:mergeCell ref="B5:D5"/>
    <x:mergeCell ref="B6:F6"/>
    <x:mergeCell ref="B7:F7"/>
    <x:mergeCell ref="A9:A10"/>
    <x:mergeCell ref="B9:C9"/>
    <x:mergeCell ref="D9:D10"/>
    <x:mergeCell ref="E9:E10"/>
    <x:mergeCell ref="F9:F10"/>
  </x:mergeCells>
  <x:conditionalFormatting sqref="F11:F18">
    <x:cfRule type="cellIs" dxfId="20" priority="1" operator="equal">
      <x:formula>"Pass"</x:formula>
    </x:cfRule>
    <x:cfRule type="cellIs" dxfId="19" priority="2" operator="equal">
      <x:formula>"Fail"</x:formula>
    </x:cfRule>
    <x:cfRule type="cellIs" dxfId="18" priority="3" operator="equal">
      <x:formula>"Block"</x:formula>
    </x:cfRule>
  </x:conditionalFormatting>
  <x:dataValidations count="1">
    <x:dataValidation type="list" allowBlank="1" sqref="F11:F18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ColWidth="16" defaultRowHeight="23.25"/>
  <x:cols>
    <x:col min="1" max="4" width="16" style="8" customWidth="0"/>
    <x:col min="5" max="5" width="32" style="8" customWidth="1"/>
    <x:col min="6" max="16384" width="16" style="8" customWidth="0"/>
  </x:cols>
  <x:sheetData>
    <x:row r="1" ht="24">
      <x:c r="A1" s="32" t="s">
        <x:v>100</x:v>
      </x:c>
      <x:c r="B1" s="32"/>
      <x:c r="C1" s="32"/>
      <x:c r="D1" s="32"/>
      <x:c r="E1" s="32"/>
      <x:c r="F1" s="32"/>
      <x:c r="G1" s="32"/>
      <x:c r="H1" s="32"/>
      <x:c r="I1" s="32"/>
    </x:row>
    <x:row r="2" ht="24">
      <x:c r="A2" s="9" t="s">
        <x:v>101</x:v>
      </x:c>
      <x:c r="E2" s="33" t="s">
        <x:v>102</x:v>
      </x:c>
      <x:c r="F2" s="33"/>
    </x:row>
    <x:row r="3" ht="24">
      <x:c r="A3" s="10" t="s">
        <x:v>103</x:v>
      </x:c>
      <x:c r="B3" s="34" t="s">
        <x:v>104</x:v>
      </x:c>
      <x:c r="C3" s="34"/>
      <x:c r="E3" s="10" t="s">
        <x:v>103</x:v>
      </x:c>
      <x:c r="F3" s="34" t="s">
        <x:v>104</x:v>
      </x:c>
      <x:c r="G3" s="34"/>
      <x:c r="H3" s="34"/>
      <x:c r="I3" s="34"/>
    </x:row>
    <x:row r="4" ht="24">
      <x:c r="A4" s="11" t="s">
        <x:v>105</x:v>
      </x:c>
      <x:c r="B4" s="31" t="s">
        <x:v>1622</x:v>
      </x:c>
      <x:c r="C4" s="31"/>
      <x:c r="E4" s="11" t="s">
        <x:v>107</x:v>
      </x:c>
      <x:c r="F4" s="31" t="s">
        <x:v>1623</x:v>
      </x:c>
      <x:c r="G4" s="31"/>
      <x:c r="H4" s="31"/>
      <x:c r="I4" s="31"/>
    </x:row>
    <x:row r="5" ht="24">
      <x:c r="E5" s="11" t="s">
        <x:v>111</x:v>
      </x:c>
      <x:c r="F5" s="31" t="s">
        <x:v>1624</x:v>
      </x:c>
      <x:c r="G5" s="31"/>
      <x:c r="H5" s="31"/>
      <x:c r="I5" s="31"/>
    </x:row>
    <x:row r="6" ht="24">
      <x:c r="E6" s="11" t="s">
        <x:v>115</x:v>
      </x:c>
      <x:c r="F6" s="31" t="s">
        <x:v>1625</x:v>
      </x:c>
      <x:c r="G6" s="31"/>
      <x:c r="H6" s="31"/>
      <x:c r="I6" s="31"/>
    </x:row>
    <x:row r="7" ht="24">
      <x:c r="E7" s="11" t="s">
        <x:v>119</x:v>
      </x:c>
      <x:c r="F7" s="31" t="s">
        <x:v>1626</x:v>
      </x:c>
      <x:c r="G7" s="31"/>
      <x:c r="H7" s="31"/>
      <x:c r="I7" s="31"/>
    </x:row>
    <x:row r="8" ht="24">
      <x:c r="E8" s="11" t="s">
        <x:v>123</x:v>
      </x:c>
      <x:c r="F8" s="31" t="s">
        <x:v>1627</x:v>
      </x:c>
      <x:c r="G8" s="31"/>
      <x:c r="H8" s="31"/>
      <x:c r="I8" s="31"/>
    </x:row>
    <x:row r="10">
      <x:c r="A10" s="30" t="s">
        <x:v>143</x:v>
      </x:c>
      <x:c r="B10" s="30"/>
      <x:c r="C10" s="30"/>
      <x:c r="D10" s="30"/>
      <x:c r="E10" s="30"/>
      <x:c r="F10" s="30"/>
      <x:c r="G10" s="30"/>
      <x:c r="H10" s="30"/>
      <x:c r="I10" s="30"/>
    </x:row>
    <x:row r="12">
      <x:c r="A12" s="12" t="s">
        <x:v>144</x:v>
      </x:c>
      <x:c r="B12" s="28" t="s">
        <x:v>1628</x:v>
      </x:c>
      <x:c r="C12" s="28"/>
      <x:c r="D12" s="28"/>
      <x:c r="E12" s="21"/>
      <x:c r="F12" s="21"/>
      <x:c r="G12" s="21"/>
      <x:c r="H12" s="12" t="s">
        <x:v>146</x:v>
      </x:c>
      <x:c r="I12" s="14" t="s">
        <x:v>147</x:v>
      </x:c>
    </x:row>
    <x:row r="13">
      <x:c r="A13" s="12" t="s">
        <x:v>148</x:v>
      </x:c>
      <x:c r="B13" s="28" t="s">
        <x:v>149</x:v>
      </x:c>
      <x:c r="C13" s="28"/>
      <x:c r="D13" s="28"/>
      <x:c r="E13" s="21"/>
      <x:c r="F13" s="21"/>
      <x:c r="G13" s="21"/>
      <x:c r="H13" s="12" t="s">
        <x:v>150</x:v>
      </x:c>
      <x:c r="I13" s="14" t="s">
        <x:v>78</x:v>
      </x:c>
    </x:row>
    <x:row r="14" ht="46.5">
      <x:c r="A14" s="12" t="s">
        <x:v>151</x:v>
      </x:c>
      <x:c r="B14" s="36" t="s">
        <x:v>152</x:v>
      </x:c>
      <x:c r="C14" s="37"/>
      <x:c r="D14" s="37"/>
      <x:c r="E14" s="37"/>
      <x:c r="F14" s="37"/>
      <x:c r="G14" s="38"/>
      <x:c r="H14" s="12" t="s">
        <x:v>153</x:v>
      </x:c>
      <x:c r="I14" s="13" t="s">
        <x:v>77</x:v>
      </x:c>
    </x:row>
    <x:row r="15" ht="46.5">
      <x:c r="A15" s="12" t="s">
        <x:v>154</x:v>
      </x:c>
      <x:c r="B15" s="28" t="s">
        <x:v>1629</x:v>
      </x:c>
      <x:c r="C15" s="28"/>
      <x:c r="D15" s="28"/>
      <x:c r="E15" s="28"/>
      <x:c r="F15" s="28"/>
      <x:c r="G15" s="28"/>
      <x:c r="H15" s="28"/>
      <x:c r="I15" s="28"/>
    </x:row>
    <x:row r="16" ht="46.5">
      <x:c r="A16" s="12" t="s">
        <x:v>156</x:v>
      </x:c>
      <x:c r="B16" s="28" t="s">
        <x:v>1630</x:v>
      </x:c>
      <x:c r="C16" s="28"/>
      <x:c r="D16" s="28"/>
      <x:c r="E16" s="28"/>
      <x:c r="F16" s="28"/>
      <x:c r="G16" s="28"/>
      <x:c r="H16" s="28"/>
      <x:c r="I16" s="28"/>
    </x:row>
    <x:row r="18">
      <x:c r="A18" s="29" t="s">
        <x:v>158</x:v>
      </x:c>
      <x:c r="B18" s="29" t="s">
        <x:v>159</x:v>
      </x:c>
      <x:c r="C18" s="29"/>
      <x:c r="D18" s="29" t="s">
        <x:v>160</x:v>
      </x:c>
      <x:c r="E18" s="29" t="s">
        <x:v>161</x:v>
      </x:c>
      <x:c r="F18" s="29" t="s">
        <x:v>162</x:v>
      </x:c>
    </x:row>
    <x:row r="19">
      <x:c r="A19" s="29"/>
      <x:c r="B19" s="15" t="s">
        <x:v>1631</x:v>
      </x:c>
      <x:c r="C19" s="15" t="s">
        <x:v>830</x:v>
      </x:c>
      <x:c r="D19" s="29"/>
      <x:c r="E19" s="29"/>
      <x:c r="F19" s="29"/>
    </x:row>
    <x:row r="20" ht="46.5">
      <x:c r="A20" s="16" t="s">
        <x:v>1632</x:v>
      </x:c>
      <x:c r="B20" s="13" t="s">
        <x:v>1633</x:v>
      </x:c>
      <x:c r="C20" s="13" t="s">
        <x:v>1634</x:v>
      </x:c>
      <x:c r="D20" s="13" t="s">
        <x:v>1635</x:v>
      </x:c>
      <x:c r="E20" s="13" t="b">
        <x:v>1</x:v>
      </x:c>
      <x:c r="F20" s="17" t="s">
        <x:v>5</x:v>
      </x:c>
    </x:row>
    <x:row r="21" ht="69.75">
      <x:c r="A21" s="16" t="s">
        <x:v>1636</x:v>
      </x:c>
      <x:c r="B21" s="13" t="s">
        <x:v>1633</x:v>
      </x:c>
      <x:c r="C21" s="13" t="s">
        <x:v>1637</x:v>
      </x:c>
      <x:c r="D21" s="13" t="s">
        <x:v>1638</x:v>
      </x:c>
      <x:c r="E21" s="13" t="s">
        <x:v>1639</x:v>
      </x:c>
      <x:c r="F21" s="17" t="s">
        <x:v>5</x:v>
      </x:c>
    </x:row>
    <x:row r="22" ht="69.75">
      <x:c r="A22" s="16" t="s">
        <x:v>1640</x:v>
      </x:c>
      <x:c r="B22" s="13" t="s">
        <x:v>1641</x:v>
      </x:c>
      <x:c r="C22" s="13" t="s">
        <x:v>1634</x:v>
      </x:c>
      <x:c r="D22" s="13" t="s">
        <x:v>1642</x:v>
      </x:c>
      <x:c r="E22" s="13" t="s">
        <x:v>1643</x:v>
      </x:c>
      <x:c r="F22" s="17" t="s">
        <x:v>5</x:v>
      </x:c>
    </x:row>
    <x:row r="23" ht="46.5">
      <x:c r="A23" s="16" t="s">
        <x:v>1644</x:v>
      </x:c>
      <x:c r="B23" s="13" t="s">
        <x:v>1645</x:v>
      </x:c>
      <x:c r="C23" s="13" t="s">
        <x:v>1634</x:v>
      </x:c>
      <x:c r="D23" s="13" t="s">
        <x:v>1646</x:v>
      </x:c>
      <x:c r="E23" s="13" t="b">
        <x:v>0</x:v>
      </x:c>
      <x:c r="F23" s="17" t="s">
        <x:v>5</x:v>
      </x:c>
    </x:row>
    <x:row r="24" ht="69.75">
      <x:c r="A24" s="16" t="s">
        <x:v>1647</x:v>
      </x:c>
      <x:c r="B24" s="13" t="s">
        <x:v>1648</x:v>
      </x:c>
      <x:c r="C24" s="13" t="s">
        <x:v>1634</x:v>
      </x:c>
      <x:c r="D24" s="13" t="s">
        <x:v>1115</x:v>
      </x:c>
      <x:c r="E24" s="13" t="b">
        <x:v>0</x:v>
      </x:c>
      <x:c r="F24" s="17" t="s">
        <x:v>5</x:v>
      </x:c>
    </x:row>
    <x:row r="25">
      <x:c r="A25" s="16" t="s">
        <x:v>1649</x:v>
      </x:c>
      <x:c r="B25" s="13" t="s">
        <x:v>1650</x:v>
      </x:c>
      <x:c r="C25" s="13" t="s">
        <x:v>1634</x:v>
      </x:c>
      <x:c r="D25" s="13" t="s">
        <x:v>1036</x:v>
      </x:c>
      <x:c r="E25" s="13" t="b">
        <x:v>0</x:v>
      </x:c>
      <x:c r="F25" s="17" t="s">
        <x:v>5</x:v>
      </x:c>
    </x:row>
    <x:row r="26">
      <x:c r="A26" s="16" t="s">
        <x:v>1651</x:v>
      </x:c>
      <x:c r="B26" s="13" t="s">
        <x:v>1652</x:v>
      </x:c>
      <x:c r="C26" s="13" t="s">
        <x:v>1634</x:v>
      </x:c>
      <x:c r="D26" s="13" t="s">
        <x:v>1653</x:v>
      </x:c>
      <x:c r="E26" s="13" t="b">
        <x:v>0</x:v>
      </x:c>
      <x:c r="F26" s="17" t="s">
        <x:v>5</x:v>
      </x:c>
    </x:row>
  </x:sheetData>
  <x:mergeCells>
    <x:mergeCell ref="B12:D12"/>
    <x:mergeCell ref="A1:I1"/>
    <x:mergeCell ref="E2:F2"/>
    <x:mergeCell ref="B3:C3"/>
    <x:mergeCell ref="F3:I3"/>
    <x:mergeCell ref="B4:C4"/>
    <x:mergeCell ref="F4:I4"/>
    <x:mergeCell ref="F5:I5"/>
    <x:mergeCell ref="F6:I6"/>
    <x:mergeCell ref="F7:I7"/>
    <x:mergeCell ref="F8:I8"/>
    <x:mergeCell ref="A10:I10"/>
    <x:mergeCell ref="B14:G14"/>
    <x:mergeCell ref="B13:D13"/>
    <x:mergeCell ref="B15:I15"/>
    <x:mergeCell ref="B16:I16"/>
    <x:mergeCell ref="A18:A19"/>
    <x:mergeCell ref="B18:C18"/>
    <x:mergeCell ref="D18:D19"/>
    <x:mergeCell ref="E18:E19"/>
    <x:mergeCell ref="F18:F19"/>
  </x:mergeCells>
  <x:conditionalFormatting sqref="F20:F26">
    <x:cfRule type="cellIs" dxfId="17" priority="1" operator="equal">
      <x:formula>"Pass"</x:formula>
    </x:cfRule>
    <x:cfRule type="cellIs" dxfId="16" priority="2" operator="equal">
      <x:formula>"Fail"</x:formula>
    </x:cfRule>
    <x:cfRule type="cellIs" dxfId="15" priority="3" operator="equal">
      <x:formula>"Block"</x:formula>
    </x:cfRule>
  </x:conditionalFormatting>
  <x:dataValidations count="1">
    <x:dataValidation type="list" allowBlank="1" sqref="F20:F26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3" width="17.5" style="8" customWidth="1"/>
    <x:col min="4" max="4" width="40.25" style="8" customWidth="1"/>
    <x:col min="5" max="5" width="31.25" style="8" customWidth="1"/>
    <x:col min="6" max="6" width="14.875" style="8" customWidth="1"/>
    <x:col min="7" max="8" width="12.25" style="8" customWidth="1"/>
    <x:col min="9" max="9" width="16.125" style="8" customWidth="1"/>
    <x:col min="10" max="16384" width="7.625" style="8" customWidth="0"/>
  </x:cols>
  <x:sheetData>
    <x:row r="1" ht="24">
      <x:c r="A1" s="32" t="s">
        <x:v>100</x:v>
      </x:c>
      <x:c r="B1" s="32"/>
      <x:c r="C1" s="32"/>
      <x:c r="D1" s="32"/>
      <x:c r="E1" s="32"/>
      <x:c r="F1" s="32"/>
      <x:c r="G1" s="32"/>
      <x:c r="H1" s="32"/>
      <x:c r="I1" s="32"/>
    </x:row>
    <x:row r="2" ht="24">
      <x:c r="A2" s="9" t="s">
        <x:v>101</x:v>
      </x:c>
      <x:c r="E2" s="33" t="s">
        <x:v>102</x:v>
      </x:c>
      <x:c r="F2" s="33"/>
    </x:row>
    <x:row r="3" ht="24">
      <x:c r="A3" s="10" t="s">
        <x:v>103</x:v>
      </x:c>
      <x:c r="B3" s="34" t="s">
        <x:v>104</x:v>
      </x:c>
      <x:c r="C3" s="34"/>
      <x:c r="E3" s="10" t="s">
        <x:v>103</x:v>
      </x:c>
      <x:c r="F3" s="34" t="s">
        <x:v>104</x:v>
      </x:c>
      <x:c r="G3" s="34"/>
      <x:c r="H3" s="34"/>
      <x:c r="I3" s="34"/>
    </x:row>
    <x:row r="4" ht="24">
      <x:c r="A4" s="11" t="s">
        <x:v>105</x:v>
      </x:c>
      <x:c r="B4" s="31" t="s">
        <x:v>1654</x:v>
      </x:c>
      <x:c r="C4" s="31"/>
      <x:c r="E4" s="11" t="s">
        <x:v>107</x:v>
      </x:c>
      <x:c r="F4" s="31" t="s">
        <x:v>1655</x:v>
      </x:c>
      <x:c r="G4" s="31"/>
      <x:c r="H4" s="31"/>
      <x:c r="I4" s="31"/>
    </x:row>
    <x:row r="5" ht="24">
      <x:c r="A5" s="11" t="s">
        <x:v>109</x:v>
      </x:c>
      <x:c r="B5" s="31" t="s">
        <x:v>1656</x:v>
      </x:c>
      <x:c r="C5" s="31"/>
      <x:c r="E5" s="11" t="s">
        <x:v>111</x:v>
      </x:c>
      <x:c r="F5" s="31" t="s">
        <x:v>1657</x:v>
      </x:c>
      <x:c r="G5" s="31"/>
      <x:c r="H5" s="31"/>
      <x:c r="I5" s="31"/>
    </x:row>
    <x:row r="6" ht="24">
      <x:c r="A6" s="11" t="s">
        <x:v>113</x:v>
      </x:c>
      <x:c r="B6" s="31" t="s">
        <x:v>1658</x:v>
      </x:c>
      <x:c r="C6" s="31"/>
      <x:c r="E6" s="11" t="s">
        <x:v>115</x:v>
      </x:c>
      <x:c r="F6" s="31" t="s">
        <x:v>1659</x:v>
      </x:c>
      <x:c r="G6" s="31"/>
      <x:c r="H6" s="31"/>
      <x:c r="I6" s="31"/>
    </x:row>
    <x:row r="7" ht="24">
      <x:c r="A7" s="11" t="s">
        <x:v>117</x:v>
      </x:c>
      <x:c r="B7" s="31" t="s">
        <x:v>1660</x:v>
      </x:c>
      <x:c r="C7" s="31"/>
    </x:row>
    <x:row r="9">
      <x:c r="A9" s="30" t="s">
        <x:v>143</x:v>
      </x:c>
      <x:c r="B9" s="30"/>
      <x:c r="C9" s="30"/>
      <x:c r="D9" s="30"/>
      <x:c r="E9" s="30"/>
      <x:c r="F9" s="30"/>
      <x:c r="G9" s="30"/>
      <x:c r="H9" s="30"/>
      <x:c r="I9" s="30"/>
    </x:row>
    <x:row r="11">
      <x:c r="A11" s="12" t="s">
        <x:v>144</x:v>
      </x:c>
      <x:c r="B11" s="28" t="s">
        <x:v>1661</x:v>
      </x:c>
      <x:c r="C11" s="28"/>
      <x:c r="D11" s="28"/>
      <x:c r="E11" s="21"/>
      <x:c r="F11" s="21"/>
      <x:c r="G11" s="21"/>
      <x:c r="H11" s="12" t="s">
        <x:v>146</x:v>
      </x:c>
      <x:c r="I11" s="14" t="s">
        <x:v>147</x:v>
      </x:c>
    </x:row>
    <x:row r="12">
      <x:c r="A12" s="12" t="s">
        <x:v>148</x:v>
      </x:c>
      <x:c r="B12" s="28" t="s">
        <x:v>149</x:v>
      </x:c>
      <x:c r="C12" s="28"/>
      <x:c r="D12" s="28"/>
      <x:c r="E12" s="21"/>
      <x:c r="F12" s="21"/>
      <x:c r="G12" s="21"/>
      <x:c r="H12" s="12" t="s">
        <x:v>150</x:v>
      </x:c>
      <x:c r="I12" s="14" t="s">
        <x:v>78</x:v>
      </x:c>
    </x:row>
    <x:row r="13" ht="46.5">
      <x:c r="A13" s="12" t="s">
        <x:v>151</x:v>
      </x:c>
      <x:c r="B13" s="28" t="s">
        <x:v>152</x:v>
      </x:c>
      <x:c r="C13" s="28"/>
      <x:c r="D13" s="28"/>
      <x:c r="E13" s="21"/>
      <x:c r="F13" s="21"/>
      <x:c r="G13" s="21"/>
      <x:c r="H13" s="12" t="s">
        <x:v>153</x:v>
      </x:c>
      <x:c r="I13" s="13" t="s">
        <x:v>77</x:v>
      </x:c>
    </x:row>
    <x:row r="14" ht="46.5">
      <x:c r="A14" s="12" t="s">
        <x:v>154</x:v>
      </x:c>
      <x:c r="B14" s="28" t="s">
        <x:v>1662</x:v>
      </x:c>
      <x:c r="C14" s="28"/>
      <x:c r="D14" s="28"/>
      <x:c r="E14" s="28"/>
      <x:c r="F14" s="28"/>
      <x:c r="G14" s="28"/>
      <x:c r="H14" s="28"/>
      <x:c r="I14" s="28"/>
    </x:row>
    <x:row r="15" ht="46.5">
      <x:c r="A15" s="12" t="s">
        <x:v>156</x:v>
      </x:c>
      <x:c r="B15" s="28" t="s">
        <x:v>1663</x:v>
      </x:c>
      <x:c r="C15" s="28"/>
      <x:c r="D15" s="28"/>
      <x:c r="E15" s="28"/>
      <x:c r="F15" s="28"/>
      <x:c r="G15" s="28"/>
      <x:c r="H15" s="28"/>
      <x:c r="I15" s="28"/>
    </x:row>
    <x:row r="17">
      <x:c r="A17" s="29" t="s">
        <x:v>158</x:v>
      </x:c>
      <x:c r="B17" s="29" t="s">
        <x:v>159</x:v>
      </x:c>
      <x:c r="C17" s="29"/>
      <x:c r="D17" s="29" t="s">
        <x:v>160</x:v>
      </x:c>
      <x:c r="E17" s="29" t="s">
        <x:v>161</x:v>
      </x:c>
      <x:c r="F17" s="29" t="s">
        <x:v>162</x:v>
      </x:c>
    </x:row>
    <x:row r="18">
      <x:c r="A18" s="29"/>
      <x:c r="B18" s="15" t="s">
        <x:v>830</x:v>
      </x:c>
      <x:c r="C18" s="15" t="s">
        <x:v>1085</x:v>
      </x:c>
      <x:c r="D18" s="29"/>
      <x:c r="E18" s="29"/>
      <x:c r="F18" s="29"/>
    </x:row>
    <x:row r="19" ht="46.5">
      <x:c r="A19" s="16" t="s">
        <x:v>1664</x:v>
      </x:c>
      <x:c r="B19" s="13" t="s">
        <x:v>1665</x:v>
      </x:c>
      <x:c r="C19" s="13" t="s">
        <x:v>1666</x:v>
      </x:c>
      <x:c r="D19" s="13" t="s">
        <x:v>1667</x:v>
      </x:c>
      <x:c r="E19" s="13" t="s">
        <x:v>1668</x:v>
      </x:c>
      <x:c r="F19" s="17" t="s">
        <x:v>5</x:v>
      </x:c>
    </x:row>
    <x:row r="20" ht="46.5">
      <x:c r="A20" s="16" t="s">
        <x:v>1669</x:v>
      </x:c>
      <x:c r="B20" s="13" t="s">
        <x:v>1670</x:v>
      </x:c>
      <x:c r="C20" s="13" t="s">
        <x:v>1671</x:v>
      </x:c>
      <x:c r="D20" s="13" t="s">
        <x:v>1672</x:v>
      </x:c>
      <x:c r="E20" s="13" t="s">
        <x:v>1673</x:v>
      </x:c>
      <x:c r="F20" s="17" t="s">
        <x:v>5</x:v>
      </x:c>
    </x:row>
    <x:row r="21">
      <x:c r="A21" s="16" t="s">
        <x:v>1674</x:v>
      </x:c>
      <x:c r="B21" s="13" t="s">
        <x:v>1675</x:v>
      </x:c>
      <x:c r="C21" s="13" t="s">
        <x:v>171</x:v>
      </x:c>
      <x:c r="D21" s="13" t="s">
        <x:v>1676</x:v>
      </x:c>
      <x:c r="E21" s="13" t="s">
        <x:v>1677</x:v>
      </x:c>
      <x:c r="F21" s="17" t="s">
        <x:v>5</x:v>
      </x:c>
    </x:row>
    <x:row r="22" ht="46.5">
      <x:c r="A22" s="16" t="s">
        <x:v>1678</x:v>
      </x:c>
      <x:c r="B22" s="13" t="s">
        <x:v>1679</x:v>
      </x:c>
      <x:c r="C22" s="13" t="s">
        <x:v>171</x:v>
      </x:c>
      <x:c r="D22" s="13" t="s">
        <x:v>1680</x:v>
      </x:c>
      <x:c r="E22" s="13" t="s">
        <x:v>1681</x:v>
      </x:c>
      <x:c r="F22" s="17" t="s">
        <x:v>5</x:v>
      </x:c>
    </x:row>
    <x:row r="23" ht="46.5">
      <x:c r="A23" s="16" t="s">
        <x:v>1682</x:v>
      </x:c>
      <x:c r="B23" s="13" t="s">
        <x:v>1665</x:v>
      </x:c>
      <x:c r="C23" s="13" t="s">
        <x:v>1683</x:v>
      </x:c>
      <x:c r="D23" s="13" t="s">
        <x:v>1684</x:v>
      </x:c>
      <x:c r="E23" s="13" t="s">
        <x:v>249</x:v>
      </x:c>
      <x:c r="F23" s="17" t="s">
        <x:v>5</x:v>
      </x:c>
    </x:row>
    <x:row r="24" ht="46.5">
      <x:c r="A24" s="16" t="s">
        <x:v>1685</x:v>
      </x:c>
      <x:c r="B24" s="13" t="s">
        <x:v>1670</x:v>
      </x:c>
      <x:c r="C24" s="13" t="s">
        <x:v>1686</x:v>
      </x:c>
      <x:c r="D24" s="13" t="s">
        <x:v>1687</x:v>
      </x:c>
      <x:c r="E24" s="13" t="s">
        <x:v>249</x:v>
      </x:c>
      <x:c r="F24" s="17" t="s">
        <x:v>5</x:v>
      </x:c>
    </x:row>
    <x:row r="25" ht="69.75">
      <x:c r="A25" s="16" t="s">
        <x:v>1688</x:v>
      </x:c>
      <x:c r="B25" s="13" t="s">
        <x:v>1689</x:v>
      </x:c>
      <x:c r="C25" s="13" t="s">
        <x:v>171</x:v>
      </x:c>
      <x:c r="D25" s="13" t="s">
        <x:v>1690</x:v>
      </x:c>
      <x:c r="E25" s="13" t="s">
        <x:v>185</x:v>
      </x:c>
      <x:c r="F25" s="17" t="s">
        <x:v>5</x:v>
      </x:c>
    </x:row>
  </x:sheetData>
  <x:mergeCells>
    <x:mergeCell ref="A9:I9"/>
    <x:mergeCell ref="A1:I1"/>
    <x:mergeCell ref="E2:F2"/>
    <x:mergeCell ref="B3:C3"/>
    <x:mergeCell ref="F3:I3"/>
    <x:mergeCell ref="B4:C4"/>
    <x:mergeCell ref="F4:I4"/>
    <x:mergeCell ref="B5:C5"/>
    <x:mergeCell ref="F5:I5"/>
    <x:mergeCell ref="B6:C6"/>
    <x:mergeCell ref="F6:I6"/>
    <x:mergeCell ref="B7:C7"/>
    <x:mergeCell ref="B11:D11"/>
    <x:mergeCell ref="B12:D12"/>
    <x:mergeCell ref="B13:D13"/>
    <x:mergeCell ref="B14:I14"/>
    <x:mergeCell ref="B15:I15"/>
    <x:mergeCell ref="A17:A18"/>
    <x:mergeCell ref="B17:C17"/>
    <x:mergeCell ref="D17:D18"/>
    <x:mergeCell ref="E17:E18"/>
    <x:mergeCell ref="F17:F18"/>
  </x:mergeCells>
  <x:conditionalFormatting sqref="F19:F25">
    <x:cfRule type="cellIs" dxfId="14" priority="1" operator="equal">
      <x:formula>"Pass"</x:formula>
    </x:cfRule>
    <x:cfRule type="cellIs" dxfId="13" priority="2" operator="equal">
      <x:formula>"Fail"</x:formula>
    </x:cfRule>
    <x:cfRule type="cellIs" dxfId="12" priority="3" operator="equal">
      <x:formula>"Block"</x:formula>
    </x:cfRule>
  </x:conditionalFormatting>
  <x:dataValidations count="1">
    <x:dataValidation type="list" allowBlank="1" sqref="F19:F25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4" width="15.75" style="8" customWidth="1"/>
    <x:col min="5" max="5" width="36.75" style="8" customWidth="1"/>
    <x:col min="6" max="6" width="30.5" style="8" customWidth="1"/>
    <x:col min="7" max="7" width="14.875" style="8" customWidth="1"/>
    <x:col min="8" max="8" width="12.25" style="8" customWidth="1"/>
    <x:col min="9" max="9" width="15.5" style="8" customWidth="1"/>
    <x:col min="10" max="16384" width="7.625" style="8" customWidth="0"/>
  </x:cols>
  <x:sheetData>
    <x:row r="1" ht="24">
      <x:c r="A1" s="32" t="s">
        <x:v>100</x:v>
      </x:c>
      <x:c r="B1" s="32"/>
      <x:c r="C1" s="32"/>
      <x:c r="D1" s="32"/>
      <x:c r="E1" s="32"/>
      <x:c r="F1" s="32"/>
      <x:c r="G1" s="32"/>
      <x:c r="H1" s="32"/>
      <x:c r="I1" s="32"/>
    </x:row>
    <x:row r="2" ht="24">
      <x:c r="A2" s="9" t="s">
        <x:v>101</x:v>
      </x:c>
      <x:c r="E2" s="33" t="s">
        <x:v>102</x:v>
      </x:c>
      <x:c r="F2" s="33"/>
    </x:row>
    <x:row r="3" ht="24">
      <x:c r="A3" s="10" t="s">
        <x:v>103</x:v>
      </x:c>
      <x:c r="B3" s="34" t="s">
        <x:v>104</x:v>
      </x:c>
      <x:c r="C3" s="34"/>
      <x:c r="E3" s="10" t="s">
        <x:v>103</x:v>
      </x:c>
      <x:c r="F3" s="34" t="s">
        <x:v>104</x:v>
      </x:c>
      <x:c r="G3" s="34"/>
      <x:c r="H3" s="34"/>
      <x:c r="I3" s="34"/>
    </x:row>
    <x:row r="4" ht="24">
      <x:c r="A4" s="11" t="s">
        <x:v>105</x:v>
      </x:c>
      <x:c r="B4" s="31" t="s">
        <x:v>1691</x:v>
      </x:c>
      <x:c r="C4" s="31"/>
      <x:c r="E4" s="11" t="s">
        <x:v>107</x:v>
      </x:c>
      <x:c r="F4" s="31" t="s">
        <x:v>1692</x:v>
      </x:c>
      <x:c r="G4" s="31"/>
      <x:c r="H4" s="31"/>
      <x:c r="I4" s="31"/>
    </x:row>
    <x:row r="5" ht="24">
      <x:c r="A5" s="11" t="s">
        <x:v>109</x:v>
      </x:c>
      <x:c r="B5" s="31" t="s">
        <x:v>1693</x:v>
      </x:c>
      <x:c r="C5" s="31"/>
      <x:c r="E5" s="11" t="s">
        <x:v>111</x:v>
      </x:c>
      <x:c r="F5" s="31" t="s">
        <x:v>1694</x:v>
      </x:c>
      <x:c r="G5" s="31"/>
      <x:c r="H5" s="31"/>
      <x:c r="I5" s="31"/>
    </x:row>
    <x:row r="6" ht="24">
      <x:c r="A6" s="11" t="s">
        <x:v>113</x:v>
      </x:c>
      <x:c r="B6" s="31" t="s">
        <x:v>1695</x:v>
      </x:c>
      <x:c r="C6" s="31"/>
      <x:c r="E6" s="11" t="s">
        <x:v>115</x:v>
      </x:c>
      <x:c r="F6" s="31" t="s">
        <x:v>1696</x:v>
      </x:c>
      <x:c r="G6" s="31"/>
      <x:c r="H6" s="31"/>
      <x:c r="I6" s="31"/>
    </x:row>
    <x:row r="7" ht="24">
      <x:c r="A7" s="11" t="s">
        <x:v>117</x:v>
      </x:c>
      <x:c r="B7" s="31" t="s">
        <x:v>1697</x:v>
      </x:c>
      <x:c r="C7" s="31"/>
      <x:c r="E7" s="11" t="s">
        <x:v>119</x:v>
      </x:c>
      <x:c r="F7" s="31" t="s">
        <x:v>1698</x:v>
      </x:c>
      <x:c r="G7" s="31"/>
      <x:c r="H7" s="31"/>
      <x:c r="I7" s="31"/>
    </x:row>
    <x:row r="8" ht="24">
      <x:c r="E8" s="11" t="s">
        <x:v>123</x:v>
      </x:c>
      <x:c r="F8" s="31" t="s">
        <x:v>1699</x:v>
      </x:c>
      <x:c r="G8" s="31"/>
      <x:c r="H8" s="31"/>
      <x:c r="I8" s="31"/>
    </x:row>
    <x:row r="10">
      <x:c r="A10" s="30" t="s">
        <x:v>143</x:v>
      </x:c>
      <x:c r="B10" s="30"/>
      <x:c r="C10" s="30"/>
      <x:c r="D10" s="30"/>
      <x:c r="E10" s="30"/>
      <x:c r="F10" s="30"/>
      <x:c r="G10" s="30"/>
      <x:c r="H10" s="30"/>
      <x:c r="I10" s="30"/>
    </x:row>
    <x:row r="12">
      <x:c r="A12" s="12" t="s">
        <x:v>144</x:v>
      </x:c>
      <x:c r="B12" s="28" t="s">
        <x:v>1700</x:v>
      </x:c>
      <x:c r="C12" s="28"/>
      <x:c r="D12" s="28"/>
      <x:c r="E12" s="28"/>
      <x:c r="F12" s="21"/>
      <x:c r="G12" s="21"/>
      <x:c r="H12" s="12" t="s">
        <x:v>146</x:v>
      </x:c>
      <x:c r="I12" s="14" t="s">
        <x:v>147</x:v>
      </x:c>
    </x:row>
    <x:row r="13">
      <x:c r="A13" s="12" t="s">
        <x:v>148</x:v>
      </x:c>
      <x:c r="B13" s="28" t="s">
        <x:v>1701</x:v>
      </x:c>
      <x:c r="C13" s="28"/>
      <x:c r="D13" s="28"/>
      <x:c r="E13" s="28"/>
      <x:c r="F13" s="21"/>
      <x:c r="G13" s="21"/>
      <x:c r="H13" s="12" t="s">
        <x:v>150</x:v>
      </x:c>
      <x:c r="I13" s="14" t="s">
        <x:v>78</x:v>
      </x:c>
    </x:row>
    <x:row r="14" ht="46.5">
      <x:c r="A14" s="12" t="s">
        <x:v>151</x:v>
      </x:c>
      <x:c r="B14" s="28" t="s">
        <x:v>152</x:v>
      </x:c>
      <x:c r="C14" s="28"/>
      <x:c r="D14" s="28"/>
      <x:c r="E14" s="28"/>
      <x:c r="F14" s="21"/>
      <x:c r="G14" s="21"/>
      <x:c r="H14" s="12" t="s">
        <x:v>153</x:v>
      </x:c>
      <x:c r="I14" s="13" t="s">
        <x:v>77</x:v>
      </x:c>
    </x:row>
    <x:row r="15" ht="46.5">
      <x:c r="A15" s="12" t="s">
        <x:v>154</x:v>
      </x:c>
      <x:c r="B15" s="28" t="s">
        <x:v>1702</x:v>
      </x:c>
      <x:c r="C15" s="28"/>
      <x:c r="D15" s="28"/>
      <x:c r="E15" s="28"/>
      <x:c r="F15" s="28"/>
      <x:c r="G15" s="28"/>
      <x:c r="H15" s="28"/>
      <x:c r="I15" s="28"/>
    </x:row>
    <x:row r="16" ht="46.5">
      <x:c r="A16" s="12" t="s">
        <x:v>156</x:v>
      </x:c>
      <x:c r="B16" s="28" t="s">
        <x:v>1703</x:v>
      </x:c>
      <x:c r="C16" s="28"/>
      <x:c r="D16" s="28"/>
      <x:c r="E16" s="28"/>
      <x:c r="F16" s="28"/>
      <x:c r="G16" s="28"/>
      <x:c r="H16" s="28"/>
      <x:c r="I16" s="28"/>
    </x:row>
    <x:row r="18">
      <x:c r="A18" s="29" t="s">
        <x:v>158</x:v>
      </x:c>
      <x:c r="B18" s="29" t="s">
        <x:v>159</x:v>
      </x:c>
      <x:c r="C18" s="29"/>
      <x:c r="D18" s="29"/>
      <x:c r="E18" s="29" t="s">
        <x:v>160</x:v>
      </x:c>
      <x:c r="F18" s="29" t="s">
        <x:v>161</x:v>
      </x:c>
      <x:c r="G18" s="29" t="s">
        <x:v>162</x:v>
      </x:c>
    </x:row>
    <x:row r="19" ht="46.5">
      <x:c r="A19" s="29"/>
      <x:c r="B19" s="15" t="s">
        <x:v>830</x:v>
      </x:c>
      <x:c r="C19" s="15" t="s">
        <x:v>1704</x:v>
      </x:c>
      <x:c r="D19" s="15" t="s">
        <x:v>1705</x:v>
      </x:c>
      <x:c r="E19" s="29"/>
      <x:c r="F19" s="29"/>
      <x:c r="G19" s="29"/>
    </x:row>
    <x:row r="20" ht="46.5">
      <x:c r="A20" s="16" t="s">
        <x:v>1706</x:v>
      </x:c>
      <x:c r="B20" s="13" t="s">
        <x:v>1707</x:v>
      </x:c>
      <x:c r="C20" s="13" t="s">
        <x:v>1708</x:v>
      </x:c>
      <x:c r="D20" s="13" t="s">
        <x:v>1709</x:v>
      </x:c>
      <x:c r="E20" s="13" t="s">
        <x:v>1710</x:v>
      </x:c>
      <x:c r="F20" s="13" t="s">
        <x:v>1711</x:v>
      </x:c>
      <x:c r="G20" s="17" t="s">
        <x:v>5</x:v>
      </x:c>
    </x:row>
    <x:row r="21">
      <x:c r="A21" s="16" t="s">
        <x:v>1712</x:v>
      </x:c>
      <x:c r="B21" s="13" t="s">
        <x:v>1707</x:v>
      </x:c>
      <x:c r="C21" s="13" t="s">
        <x:v>1713</x:v>
      </x:c>
      <x:c r="D21" s="13" t="s">
        <x:v>1714</x:v>
      </x:c>
      <x:c r="E21" s="13" t="s">
        <x:v>1715</x:v>
      </x:c>
      <x:c r="F21" s="13" t="s">
        <x:v>1209</x:v>
      </x:c>
      <x:c r="G21" s="17" t="s">
        <x:v>5</x:v>
      </x:c>
    </x:row>
    <x:row r="22">
      <x:c r="A22" s="16" t="s">
        <x:v>1716</x:v>
      </x:c>
      <x:c r="B22" s="13" t="s">
        <x:v>1707</x:v>
      </x:c>
      <x:c r="C22" s="13" t="s">
        <x:v>1717</x:v>
      </x:c>
      <x:c r="D22" s="13" t="s">
        <x:v>1718</x:v>
      </x:c>
      <x:c r="E22" s="13" t="s">
        <x:v>1719</x:v>
      </x:c>
      <x:c r="F22" s="13" t="s">
        <x:v>1209</x:v>
      </x:c>
      <x:c r="G22" s="17" t="s">
        <x:v>5</x:v>
      </x:c>
    </x:row>
    <x:row r="23" ht="46.5">
      <x:c r="A23" s="16" t="s">
        <x:v>1720</x:v>
      </x:c>
      <x:c r="B23" s="13" t="s">
        <x:v>1721</x:v>
      </x:c>
      <x:c r="C23" s="13" t="s">
        <x:v>1722</x:v>
      </x:c>
      <x:c r="D23" s="13" t="s">
        <x:v>1723</x:v>
      </x:c>
      <x:c r="E23" s="13" t="s">
        <x:v>1724</x:v>
      </x:c>
      <x:c r="F23" s="13" t="s">
        <x:v>1209</x:v>
      </x:c>
      <x:c r="G23" s="17" t="s">
        <x:v>5</x:v>
      </x:c>
    </x:row>
    <x:row r="24" ht="46.5">
      <x:c r="A24" s="16" t="s">
        <x:v>1725</x:v>
      </x:c>
      <x:c r="B24" s="13" t="s">
        <x:v>1707</x:v>
      </x:c>
      <x:c r="C24" s="13" t="s">
        <x:v>1726</x:v>
      </x:c>
      <x:c r="D24" s="13" t="s">
        <x:v>1727</x:v>
      </x:c>
      <x:c r="E24" s="13" t="s">
        <x:v>1728</x:v>
      </x:c>
      <x:c r="F24" s="13" t="s">
        <x:v>188</x:v>
      </x:c>
      <x:c r="G24" s="17" t="s">
        <x:v>5</x:v>
      </x:c>
    </x:row>
    <x:row r="25" ht="46.5">
      <x:c r="A25" s="16" t="s">
        <x:v>1729</x:v>
      </x:c>
      <x:c r="B25" s="13" t="s">
        <x:v>1707</x:v>
      </x:c>
      <x:c r="C25" s="13" t="s">
        <x:v>1730</x:v>
      </x:c>
      <x:c r="D25" s="13" t="s">
        <x:v>1731</x:v>
      </x:c>
      <x:c r="E25" s="13" t="s">
        <x:v>1732</x:v>
      </x:c>
      <x:c r="F25" s="13" t="s">
        <x:v>188</x:v>
      </x:c>
      <x:c r="G25" s="17" t="s">
        <x:v>5</x:v>
      </x:c>
    </x:row>
    <x:row r="26">
      <x:c r="A26" s="16" t="s">
        <x:v>1733</x:v>
      </x:c>
      <x:c r="B26" s="13" t="s">
        <x:v>1707</x:v>
      </x:c>
      <x:c r="C26" s="13" t="s">
        <x:v>1734</x:v>
      </x:c>
      <x:c r="D26" s="13" t="s">
        <x:v>1735</x:v>
      </x:c>
      <x:c r="E26" s="13" t="s">
        <x:v>1736</x:v>
      </x:c>
      <x:c r="F26" s="13" t="s">
        <x:v>188</x:v>
      </x:c>
      <x:c r="G26" s="17" t="s">
        <x:v>5</x:v>
      </x:c>
    </x:row>
    <x:row r="27" ht="46.5">
      <x:c r="A27" s="16" t="s">
        <x:v>1737</x:v>
      </x:c>
      <x:c r="B27" s="13" t="s">
        <x:v>1707</x:v>
      </x:c>
      <x:c r="C27" s="13" t="s">
        <x:v>1722</x:v>
      </x:c>
      <x:c r="D27" s="13" t="s">
        <x:v>1738</x:v>
      </x:c>
      <x:c r="E27" s="13" t="s">
        <x:v>1739</x:v>
      </x:c>
      <x:c r="F27" s="13" t="s">
        <x:v>249</x:v>
      </x:c>
      <x:c r="G27" s="17" t="s">
        <x:v>5</x:v>
      </x:c>
    </x:row>
    <x:row r="28" ht="46.5">
      <x:c r="A28" s="16" t="s">
        <x:v>1740</x:v>
      </x:c>
      <x:c r="B28" s="13" t="s">
        <x:v>1741</x:v>
      </x:c>
      <x:c r="C28" s="13" t="s">
        <x:v>1742</x:v>
      </x:c>
      <x:c r="D28" s="13" t="s">
        <x:v>171</x:v>
      </x:c>
      <x:c r="E28" s="13" t="s">
        <x:v>1196</x:v>
      </x:c>
      <x:c r="F28" s="13" t="s">
        <x:v>185</x:v>
      </x:c>
      <x:c r="G28" s="17" t="s">
        <x:v>5</x:v>
      </x:c>
    </x:row>
  </x:sheetData>
  <x:mergeCells>
    <x:mergeCell ref="A1:I1"/>
    <x:mergeCell ref="E2:F2"/>
    <x:mergeCell ref="B3:C3"/>
    <x:mergeCell ref="F3:I3"/>
    <x:mergeCell ref="B4:C4"/>
    <x:mergeCell ref="F4:I4"/>
    <x:mergeCell ref="B15:I15"/>
    <x:mergeCell ref="B5:C5"/>
    <x:mergeCell ref="F5:I5"/>
    <x:mergeCell ref="B6:C6"/>
    <x:mergeCell ref="F6:I6"/>
    <x:mergeCell ref="B7:C7"/>
    <x:mergeCell ref="F7:I7"/>
    <x:mergeCell ref="F8:I8"/>
    <x:mergeCell ref="A10:I10"/>
    <x:mergeCell ref="B12:E12"/>
    <x:mergeCell ref="B13:E13"/>
    <x:mergeCell ref="B14:E14"/>
    <x:mergeCell ref="B16:I16"/>
    <x:mergeCell ref="A18:A19"/>
    <x:mergeCell ref="B18:D18"/>
    <x:mergeCell ref="E18:E19"/>
    <x:mergeCell ref="F18:F19"/>
    <x:mergeCell ref="G18:G19"/>
  </x:mergeCells>
  <x:conditionalFormatting sqref="G20:G28">
    <x:cfRule type="cellIs" dxfId="11" priority="1" operator="equal">
      <x:formula>"Pass"</x:formula>
    </x:cfRule>
    <x:cfRule type="cellIs" dxfId="10" priority="2" operator="equal">
      <x:formula>"Fail"</x:formula>
    </x:cfRule>
    <x:cfRule type="cellIs" dxfId="9" priority="3" operator="equal">
      <x:formula>"Block"</x:formula>
    </x:cfRule>
  </x:conditionalFormatting>
  <x:dataValidations count="1">
    <x:dataValidation type="list" allowBlank="1" sqref="G20:G28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3" width="12.25" style="8" customWidth="1"/>
    <x:col min="4" max="4" width="40.25" style="8" customWidth="1"/>
    <x:col min="5" max="5" width="32" style="8" customWidth="1"/>
    <x:col min="6" max="6" width="14.875" style="8" customWidth="1"/>
    <x:col min="7" max="8" width="7.625" style="8" customWidth="0"/>
    <x:col min="9" max="9" width="8.75" style="8" customWidth="1"/>
    <x:col min="10" max="11" width="17.5" style="8" customWidth="1"/>
    <x:col min="12" max="16384" width="7.625" style="8" customWidth="0"/>
  </x:cols>
  <x:sheetData>
    <x:row r="1" ht="46.5">
      <x:c r="A1" s="30" t="s">
        <x:v>143</x:v>
      </x:c>
      <x:c r="B1" s="30"/>
      <x:c r="C1" s="30"/>
      <x:c r="D1" s="30"/>
      <x:c r="E1" s="30"/>
      <x:c r="F1" s="30"/>
      <x:c r="I1" s="13"/>
      <x:c r="J1" s="15" t="s">
        <x:v>1743</x:v>
      </x:c>
      <x:c r="K1" s="15" t="s">
        <x:v>1744</x:v>
      </x:c>
    </x:row>
    <x:row r="2">
      <x:c r="I2" s="17" t="s">
        <x:v>362</x:v>
      </x:c>
      <x:c r="J2" s="17" t="s">
        <x:v>368</x:v>
      </x:c>
      <x:c r="K2" s="17" t="s">
        <x:v>364</x:v>
      </x:c>
    </x:row>
    <x:row r="3">
      <x:c r="A3" s="12" t="s">
        <x:v>144</x:v>
      </x:c>
      <x:c r="B3" s="28" t="s">
        <x:v>1745</x:v>
      </x:c>
      <x:c r="C3" s="28"/>
      <x:c r="D3" s="28"/>
      <x:c r="E3" s="12" t="s">
        <x:v>146</x:v>
      </x:c>
      <x:c r="F3" s="14" t="s">
        <x:v>147</x:v>
      </x:c>
      <x:c r="I3" s="17" t="s">
        <x:v>366</x:v>
      </x:c>
      <x:c r="J3" s="17" t="s">
        <x:v>172</x:v>
      </x:c>
      <x:c r="K3" s="17" t="s">
        <x:v>368</x:v>
      </x:c>
    </x:row>
    <x:row r="4">
      <x:c r="A4" s="12" t="s">
        <x:v>148</x:v>
      </x:c>
      <x:c r="B4" s="28" t="s">
        <x:v>369</x:v>
      </x:c>
      <x:c r="C4" s="28"/>
      <x:c r="D4" s="28"/>
      <x:c r="E4" s="12" t="s">
        <x:v>150</x:v>
      </x:c>
      <x:c r="F4" s="14" t="s">
        <x:v>78</x:v>
      </x:c>
      <x:c r="I4" s="17" t="s">
        <x:v>370</x:v>
      </x:c>
      <x:c r="J4" s="17" t="s">
        <x:v>744</x:v>
      </x:c>
      <x:c r="K4" s="17" t="s">
        <x:v>172</x:v>
      </x:c>
    </x:row>
    <x:row r="5" ht="46.5">
      <x:c r="A5" s="12" t="s">
        <x:v>151</x:v>
      </x:c>
      <x:c r="B5" s="28" t="s">
        <x:v>152</x:v>
      </x:c>
      <x:c r="C5" s="28"/>
      <x:c r="D5" s="28"/>
      <x:c r="E5" s="12" t="s">
        <x:v>153</x:v>
      </x:c>
      <x:c r="F5" s="13" t="s">
        <x:v>77</x:v>
      </x:c>
      <x:c r="I5" s="17" t="s">
        <x:v>299</x:v>
      </x:c>
      <x:c r="J5" s="17" t="s">
        <x:v>1746</x:v>
      </x:c>
      <x:c r="K5" s="17" t="s">
        <x:v>1747</x:v>
      </x:c>
    </x:row>
    <x:row r="6" ht="46.5">
      <x:c r="A6" s="12" t="s">
        <x:v>154</x:v>
      </x:c>
      <x:c r="B6" s="28" t="s">
        <x:v>1748</x:v>
      </x:c>
      <x:c r="C6" s="28"/>
      <x:c r="D6" s="28"/>
      <x:c r="E6" s="28"/>
      <x:c r="F6" s="28"/>
    </x:row>
    <x:row r="7" ht="46.5">
      <x:c r="A7" s="12" t="s">
        <x:v>156</x:v>
      </x:c>
      <x:c r="B7" s="28" t="s">
        <x:v>1749</x:v>
      </x:c>
      <x:c r="C7" s="28"/>
      <x:c r="D7" s="28"/>
      <x:c r="E7" s="28"/>
      <x:c r="F7" s="28"/>
    </x:row>
    <x:row r="9">
      <x:c r="A9" s="29" t="s">
        <x:v>158</x:v>
      </x:c>
      <x:c r="B9" s="29" t="s">
        <x:v>159</x:v>
      </x:c>
      <x:c r="C9" s="29"/>
      <x:c r="D9" s="29" t="s">
        <x:v>160</x:v>
      </x:c>
      <x:c r="E9" s="29" t="s">
        <x:v>161</x:v>
      </x:c>
      <x:c r="F9" s="29" t="s">
        <x:v>162</x:v>
      </x:c>
    </x:row>
    <x:row r="10">
      <x:c r="A10" s="29"/>
      <x:c r="B10" s="15" t="s">
        <x:v>1750</x:v>
      </x:c>
      <x:c r="C10" s="15" t="s">
        <x:v>1751</x:v>
      </x:c>
      <x:c r="D10" s="29"/>
      <x:c r="E10" s="29"/>
      <x:c r="F10" s="29"/>
    </x:row>
    <x:row r="11" ht="46.5">
      <x:c r="A11" s="16" t="s">
        <x:v>1752</x:v>
      </x:c>
      <x:c r="B11" s="13" t="s">
        <x:v>977</x:v>
      </x:c>
      <x:c r="C11" s="13" t="s">
        <x:v>1753</x:v>
      </x:c>
      <x:c r="D11" s="13" t="s">
        <x:v>1754</x:v>
      </x:c>
      <x:c r="E11" s="13" t="s">
        <x:v>1755</x:v>
      </x:c>
      <x:c r="F11" s="17" t="s">
        <x:v>5</x:v>
      </x:c>
    </x:row>
    <x:row r="12" ht="46.5">
      <x:c r="A12" s="16" t="s">
        <x:v>1756</x:v>
      </x:c>
      <x:c r="B12" s="13" t="s">
        <x:v>977</x:v>
      </x:c>
      <x:c r="C12" s="13" t="s">
        <x:v>1757</x:v>
      </x:c>
      <x:c r="D12" s="13" t="s">
        <x:v>1758</x:v>
      </x:c>
      <x:c r="E12" s="13" t="s">
        <x:v>188</x:v>
      </x:c>
      <x:c r="F12" s="17" t="s">
        <x:v>5</x:v>
      </x:c>
    </x:row>
    <x:row r="13" ht="46.5">
      <x:c r="A13" s="16" t="s">
        <x:v>1759</x:v>
      </x:c>
      <x:c r="B13" s="13" t="s">
        <x:v>977</x:v>
      </x:c>
      <x:c r="C13" s="13" t="s">
        <x:v>1760</x:v>
      </x:c>
      <x:c r="D13" s="13" t="s">
        <x:v>1460</x:v>
      </x:c>
      <x:c r="E13" s="13" t="s">
        <x:v>1460</x:v>
      </x:c>
      <x:c r="F13" s="17" t="s">
        <x:v>5</x:v>
      </x:c>
    </x:row>
    <x:row r="14" ht="46.5">
      <x:c r="A14" s="16" t="s">
        <x:v>1761</x:v>
      </x:c>
      <x:c r="B14" s="13" t="s">
        <x:v>977</x:v>
      </x:c>
      <x:c r="C14" s="13" t="s">
        <x:v>1762</x:v>
      </x:c>
      <x:c r="D14" s="13" t="s">
        <x:v>1460</x:v>
      </x:c>
      <x:c r="E14" s="13" t="s">
        <x:v>1460</x:v>
      </x:c>
      <x:c r="F14" s="17" t="s">
        <x:v>5</x:v>
      </x:c>
    </x:row>
    <x:row r="15" ht="93">
      <x:c r="A15" s="16" t="s">
        <x:v>1763</x:v>
      </x:c>
      <x:c r="B15" s="13" t="s">
        <x:v>977</x:v>
      </x:c>
      <x:c r="C15" s="13" t="s">
        <x:v>1764</x:v>
      </x:c>
      <x:c r="D15" s="13" t="s">
        <x:v>1765</x:v>
      </x:c>
      <x:c r="E15" s="13" t="s">
        <x:v>188</x:v>
      </x:c>
      <x:c r="F15" s="17" t="s">
        <x:v>5</x:v>
      </x:c>
    </x:row>
    <x:row r="16" ht="93">
      <x:c r="A16" s="16" t="s">
        <x:v>1766</x:v>
      </x:c>
      <x:c r="B16" s="13" t="s">
        <x:v>977</x:v>
      </x:c>
      <x:c r="C16" s="13" t="s">
        <x:v>1767</x:v>
      </x:c>
      <x:c r="D16" s="13" t="s">
        <x:v>1768</x:v>
      </x:c>
      <x:c r="E16" s="13" t="s">
        <x:v>1768</x:v>
      </x:c>
      <x:c r="F16" s="17" t="s">
        <x:v>5</x:v>
      </x:c>
    </x:row>
    <x:row r="17" ht="93">
      <x:c r="A17" s="16" t="s">
        <x:v>1769</x:v>
      </x:c>
      <x:c r="B17" s="13" t="s">
        <x:v>977</x:v>
      </x:c>
      <x:c r="C17" s="13" t="s">
        <x:v>1770</x:v>
      </x:c>
      <x:c r="D17" s="13" t="s">
        <x:v>1768</x:v>
      </x:c>
      <x:c r="E17" s="13" t="s">
        <x:v>1768</x:v>
      </x:c>
      <x:c r="F17" s="17" t="s">
        <x:v>5</x:v>
      </x:c>
    </x:row>
    <x:row r="18" ht="116.25">
      <x:c r="A18" s="16" t="s">
        <x:v>1771</x:v>
      </x:c>
      <x:c r="B18" s="13" t="s">
        <x:v>977</x:v>
      </x:c>
      <x:c r="C18" s="13" t="s">
        <x:v>1772</x:v>
      </x:c>
      <x:c r="D18" s="13" t="s">
        <x:v>1773</x:v>
      </x:c>
      <x:c r="E18" s="13" t="s">
        <x:v>1460</x:v>
      </x:c>
      <x:c r="F18" s="17" t="s">
        <x:v>5</x:v>
      </x:c>
    </x:row>
    <x:row r="19" ht="46.5">
      <x:c r="A19" s="16" t="s">
        <x:v>1774</x:v>
      </x:c>
      <x:c r="B19" s="13" t="s">
        <x:v>980</x:v>
      </x:c>
      <x:c r="C19" s="13" t="s">
        <x:v>1753</x:v>
      </x:c>
      <x:c r="D19" s="13" t="s">
        <x:v>1775</x:v>
      </x:c>
      <x:c r="E19" s="13" t="s">
        <x:v>188</x:v>
      </x:c>
      <x:c r="F19" s="17" t="s">
        <x:v>5</x:v>
      </x:c>
    </x:row>
    <x:row r="20">
      <x:c r="A20" s="16" t="s">
        <x:v>1776</x:v>
      </x:c>
      <x:c r="B20" s="13" t="s">
        <x:v>980</x:v>
      </x:c>
      <x:c r="C20" s="13" t="s">
        <x:v>1777</x:v>
      </x:c>
      <x:c r="D20" s="13" t="s">
        <x:v>1778</x:v>
      </x:c>
      <x:c r="E20" s="13" t="s">
        <x:v>1778</x:v>
      </x:c>
      <x:c r="F20" s="17" t="s">
        <x:v>5</x:v>
      </x:c>
    </x:row>
  </x:sheetData>
  <x:mergeCells>
    <x:mergeCell ref="A1:F1"/>
    <x:mergeCell ref="B3:D3"/>
    <x:mergeCell ref="B4:D4"/>
    <x:mergeCell ref="B5:D5"/>
    <x:mergeCell ref="B6:F6"/>
    <x:mergeCell ref="B7:F7"/>
    <x:mergeCell ref="A9:A10"/>
    <x:mergeCell ref="B9:C9"/>
    <x:mergeCell ref="D9:D10"/>
    <x:mergeCell ref="E9:E10"/>
    <x:mergeCell ref="F9:F10"/>
  </x:mergeCells>
  <x:conditionalFormatting sqref="F11:F20">
    <x:cfRule type="cellIs" dxfId="8" priority="1" operator="equal">
      <x:formula>"Pass"</x:formula>
    </x:cfRule>
    <x:cfRule type="cellIs" dxfId="7" priority="2" operator="equal">
      <x:formula>"Fail"</x:formula>
    </x:cfRule>
    <x:cfRule type="cellIs" dxfId="6" priority="3" operator="equal">
      <x:formula>"Block"</x:formula>
    </x:cfRule>
  </x:conditionalFormatting>
  <x:dataValidations count="1">
    <x:dataValidation type="list" allowBlank="1" sqref="F11:F20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3" width="21" style="8" customWidth="1"/>
    <x:col min="4" max="4" width="38.5" style="8" customWidth="1"/>
    <x:col min="5" max="5" width="31.75" style="8" customWidth="1"/>
    <x:col min="6" max="6" width="14.875" style="8" customWidth="1"/>
    <x:col min="7" max="8" width="7.625" style="8" customWidth="0"/>
    <x:col min="9" max="9" width="8.75" style="8" customWidth="1"/>
    <x:col min="10" max="10" width="19.25" style="8" customWidth="1"/>
    <x:col min="11" max="16384" width="7.625" style="8" customWidth="0"/>
  </x:cols>
  <x:sheetData>
    <x:row r="1" ht="46.5">
      <x:c r="A1" s="30" t="s">
        <x:v>143</x:v>
      </x:c>
      <x:c r="B1" s="30"/>
      <x:c r="C1" s="30"/>
      <x:c r="D1" s="30"/>
      <x:c r="E1" s="30"/>
      <x:c r="F1" s="30"/>
      <x:c r="I1" s="13"/>
      <x:c r="J1" s="15" t="s">
        <x:v>1779</x:v>
      </x:c>
    </x:row>
    <x:row r="2">
      <x:c r="I2" s="17" t="s">
        <x:v>362</x:v>
      </x:c>
      <x:c r="J2" s="17" t="s">
        <x:v>364</x:v>
      </x:c>
    </x:row>
    <x:row r="3">
      <x:c r="A3" s="12" t="s">
        <x:v>144</x:v>
      </x:c>
      <x:c r="B3" s="28" t="s">
        <x:v>1780</x:v>
      </x:c>
      <x:c r="C3" s="28"/>
      <x:c r="D3" s="28"/>
      <x:c r="E3" s="12" t="s">
        <x:v>146</x:v>
      </x:c>
      <x:c r="F3" s="14" t="s">
        <x:v>147</x:v>
      </x:c>
      <x:c r="I3" s="17" t="s">
        <x:v>366</x:v>
      </x:c>
      <x:c r="J3" s="17" t="s">
        <x:v>368</x:v>
      </x:c>
    </x:row>
    <x:row r="4">
      <x:c r="A4" s="12" t="s">
        <x:v>148</x:v>
      </x:c>
      <x:c r="B4" s="28" t="s">
        <x:v>369</x:v>
      </x:c>
      <x:c r="C4" s="28"/>
      <x:c r="D4" s="28"/>
      <x:c r="E4" s="12" t="s">
        <x:v>150</x:v>
      </x:c>
      <x:c r="F4" s="14" t="s">
        <x:v>78</x:v>
      </x:c>
      <x:c r="I4" s="17" t="s">
        <x:v>370</x:v>
      </x:c>
      <x:c r="J4" s="17" t="s">
        <x:v>172</x:v>
      </x:c>
    </x:row>
    <x:row r="5" ht="46.5">
      <x:c r="A5" s="12" t="s">
        <x:v>151</x:v>
      </x:c>
      <x:c r="B5" s="28" t="s">
        <x:v>152</x:v>
      </x:c>
      <x:c r="C5" s="28"/>
      <x:c r="D5" s="28"/>
      <x:c r="E5" s="12" t="s">
        <x:v>153</x:v>
      </x:c>
      <x:c r="F5" s="13" t="s">
        <x:v>77</x:v>
      </x:c>
      <x:c r="I5" s="17" t="s">
        <x:v>299</x:v>
      </x:c>
      <x:c r="J5" s="17" t="s">
        <x:v>764</x:v>
      </x:c>
    </x:row>
    <x:row r="6" ht="46.5">
      <x:c r="A6" s="12" t="s">
        <x:v>154</x:v>
      </x:c>
      <x:c r="B6" s="28" t="s">
        <x:v>1781</x:v>
      </x:c>
      <x:c r="C6" s="28"/>
      <x:c r="D6" s="28"/>
      <x:c r="E6" s="28"/>
      <x:c r="F6" s="28"/>
    </x:row>
    <x:row r="7" ht="46.5">
      <x:c r="A7" s="12" t="s">
        <x:v>156</x:v>
      </x:c>
      <x:c r="B7" s="28" t="s">
        <x:v>1782</x:v>
      </x:c>
      <x:c r="C7" s="28"/>
      <x:c r="D7" s="28"/>
      <x:c r="E7" s="28"/>
      <x:c r="F7" s="28"/>
    </x:row>
    <x:row r="9">
      <x:c r="A9" s="29" t="s">
        <x:v>158</x:v>
      </x:c>
      <x:c r="B9" s="29" t="s">
        <x:v>159</x:v>
      </x:c>
      <x:c r="C9" s="29"/>
      <x:c r="D9" s="29" t="s">
        <x:v>160</x:v>
      </x:c>
      <x:c r="E9" s="29" t="s">
        <x:v>161</x:v>
      </x:c>
      <x:c r="F9" s="29" t="s">
        <x:v>162</x:v>
      </x:c>
    </x:row>
    <x:row r="10">
      <x:c r="A10" s="29"/>
      <x:c r="B10" s="15" t="s">
        <x:v>1783</x:v>
      </x:c>
      <x:c r="C10" s="15" t="s">
        <x:v>1784</x:v>
      </x:c>
      <x:c r="D10" s="29"/>
      <x:c r="E10" s="29"/>
      <x:c r="F10" s="29"/>
    </x:row>
    <x:row r="11" ht="46.5">
      <x:c r="A11" s="16" t="s">
        <x:v>1785</x:v>
      </x:c>
      <x:c r="B11" s="13" t="s">
        <x:v>1786</x:v>
      </x:c>
      <x:c r="C11" s="13" t="s">
        <x:v>977</x:v>
      </x:c>
      <x:c r="D11" s="13" t="s">
        <x:v>1787</x:v>
      </x:c>
      <x:c r="E11" s="13" t="s">
        <x:v>1460</x:v>
      </x:c>
      <x:c r="F11" s="17" t="s">
        <x:v>5</x:v>
      </x:c>
    </x:row>
    <x:row r="12" ht="46.5">
      <x:c r="A12" s="16" t="s">
        <x:v>1788</x:v>
      </x:c>
      <x:c r="B12" s="13" t="s">
        <x:v>1789</x:v>
      </x:c>
      <x:c r="C12" s="13" t="s">
        <x:v>977</x:v>
      </x:c>
      <x:c r="D12" s="13" t="s">
        <x:v>1790</x:v>
      </x:c>
      <x:c r="E12" s="13" t="s">
        <x:v>188</x:v>
      </x:c>
      <x:c r="F12" s="17" t="s">
        <x:v>5</x:v>
      </x:c>
    </x:row>
    <x:row r="13" ht="46.5">
      <x:c r="A13" s="16" t="s">
        <x:v>1791</x:v>
      </x:c>
      <x:c r="B13" s="13" t="s">
        <x:v>1792</x:v>
      </x:c>
      <x:c r="C13" s="13" t="s">
        <x:v>977</x:v>
      </x:c>
      <x:c r="D13" s="13" t="s">
        <x:v>188</x:v>
      </x:c>
      <x:c r="E13" s="13" t="s">
        <x:v>188</x:v>
      </x:c>
      <x:c r="F13" s="17" t="s">
        <x:v>5</x:v>
      </x:c>
    </x:row>
    <x:row r="14" ht="46.5">
      <x:c r="A14" s="16" t="s">
        <x:v>1793</x:v>
      </x:c>
      <x:c r="B14" s="13" t="s">
        <x:v>1794</x:v>
      </x:c>
      <x:c r="C14" s="13" t="s">
        <x:v>977</x:v>
      </x:c>
      <x:c r="D14" s="13" t="s">
        <x:v>1460</x:v>
      </x:c>
      <x:c r="E14" s="13" t="s">
        <x:v>1460</x:v>
      </x:c>
      <x:c r="F14" s="17" t="s">
        <x:v>5</x:v>
      </x:c>
    </x:row>
    <x:row r="15">
      <x:c r="A15" s="16" t="s">
        <x:v>1795</x:v>
      </x:c>
      <x:c r="B15" s="13" t="s">
        <x:v>1796</x:v>
      </x:c>
      <x:c r="C15" s="13" t="s">
        <x:v>980</x:v>
      </x:c>
      <x:c r="D15" s="13" t="s">
        <x:v>1797</x:v>
      </x:c>
      <x:c r="E15" s="13" t="s">
        <x:v>1460</x:v>
      </x:c>
      <x:c r="F15" s="17" t="s">
        <x:v>5</x:v>
      </x:c>
    </x:row>
    <x:row r="16" ht="46.5">
      <x:c r="A16" s="16" t="s">
        <x:v>1798</x:v>
      </x:c>
      <x:c r="B16" s="13" t="s">
        <x:v>1799</x:v>
      </x:c>
      <x:c r="C16" s="13" t="s">
        <x:v>977</x:v>
      </x:c>
      <x:c r="D16" s="13" t="s">
        <x:v>1800</x:v>
      </x:c>
      <x:c r="E16" s="13" t="s">
        <x:v>188</x:v>
      </x:c>
      <x:c r="F16" s="17" t="s">
        <x:v>5</x:v>
      </x:c>
    </x:row>
    <x:row r="17" ht="46.5">
      <x:c r="A17" s="16" t="s">
        <x:v>1801</x:v>
      </x:c>
      <x:c r="B17" s="13" t="s">
        <x:v>1802</x:v>
      </x:c>
      <x:c r="C17" s="13" t="s">
        <x:v>171</x:v>
      </x:c>
      <x:c r="D17" s="13" t="s">
        <x:v>1803</x:v>
      </x:c>
      <x:c r="E17" s="13" t="s">
        <x:v>188</x:v>
      </x:c>
      <x:c r="F17" s="17" t="s">
        <x:v>5</x:v>
      </x:c>
    </x:row>
    <x:row r="18">
      <x:c r="A18" s="16" t="s">
        <x:v>1804</x:v>
      </x:c>
      <x:c r="B18" s="13" t="s">
        <x:v>1805</x:v>
      </x:c>
      <x:c r="C18" s="13" t="s">
        <x:v>171</x:v>
      </x:c>
      <x:c r="D18" s="13" t="s">
        <x:v>185</x:v>
      </x:c>
      <x:c r="E18" s="13" t="s">
        <x:v>185</x:v>
      </x:c>
      <x:c r="F18" s="17" t="s">
        <x:v>5</x:v>
      </x:c>
    </x:row>
  </x:sheetData>
  <x:mergeCells>
    <x:mergeCell ref="A1:F1"/>
    <x:mergeCell ref="B3:D3"/>
    <x:mergeCell ref="B4:D4"/>
    <x:mergeCell ref="B5:D5"/>
    <x:mergeCell ref="B6:F6"/>
    <x:mergeCell ref="B7:F7"/>
    <x:mergeCell ref="A9:A10"/>
    <x:mergeCell ref="B9:C9"/>
    <x:mergeCell ref="D9:D10"/>
    <x:mergeCell ref="E9:E10"/>
    <x:mergeCell ref="F9:F10"/>
  </x:mergeCells>
  <x:conditionalFormatting sqref="F11:F18">
    <x:cfRule type="cellIs" dxfId="5" priority="1" operator="equal">
      <x:formula>"Pass"</x:formula>
    </x:cfRule>
    <x:cfRule type="cellIs" dxfId="4" priority="2" operator="equal">
      <x:formula>"Fail"</x:formula>
    </x:cfRule>
    <x:cfRule type="cellIs" dxfId="3" priority="3" operator="equal">
      <x:formula>"Block"</x:formula>
    </x:cfRule>
  </x:conditionalFormatting>
  <x:dataValidations count="1">
    <x:dataValidation type="list" allowBlank="1" sqref="F11:F18">
      <x:formula1>"Pass,Fail,No run,Block"</x:formula1>
      <x:formula2>0</x:formula2>
    </x:dataValidation>
  </x:dataValidation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defaultColWidth="7.625" defaultRowHeight="23.25"/>
  <x:cols>
    <x:col min="1" max="1" width="19.25" style="8" customWidth="1"/>
    <x:col min="2" max="4" width="14.875" style="8" customWidth="1"/>
    <x:col min="5" max="5" width="36.75" style="8" customWidth="1"/>
    <x:col min="6" max="6" width="34.375" style="8" customWidth="1"/>
    <x:col min="7" max="7" width="17.75" style="8" customWidth="1"/>
    <x:col min="8" max="9" width="7.625" style="8" customWidth="0"/>
    <x:col min="10" max="10" width="8.75" style="8" customWidth="1"/>
    <x:col min="11" max="13" width="21" style="8" customWidth="1"/>
    <x:col min="14" max="16384" width="7.625" style="8" customWidth="0"/>
  </x:cols>
  <x:sheetData>
    <x:row r="1" ht="46.5">
      <x:c r="A1" s="30" t="s">
        <x:v>143</x:v>
      </x:c>
      <x:c r="B1" s="30"/>
      <x:c r="C1" s="30"/>
      <x:c r="D1" s="30"/>
      <x:c r="E1" s="30"/>
      <x:c r="F1" s="30"/>
      <x:c r="G1" s="30"/>
      <x:c r="J1" s="13"/>
      <x:c r="K1" s="15" t="s">
        <x:v>1806</x:v>
      </x:c>
      <x:c r="L1" s="15" t="s">
        <x:v>1807</x:v>
      </x:c>
      <x:c r="M1" s="15" t="s">
        <x:v>1808</x:v>
      </x:c>
    </x:row>
    <x:row r="2" ht="46.5">
      <x:c r="J2" s="17" t="s">
        <x:v>362</x:v>
      </x:c>
      <x:c r="K2" s="17" t="s">
        <x:v>364</x:v>
      </x:c>
      <x:c r="L2" s="17" t="s">
        <x:v>1809</x:v>
      </x:c>
      <x:c r="M2" s="17" t="s">
        <x:v>1810</x:v>
      </x:c>
    </x:row>
    <x:row r="3" ht="28.5" customHeight="1">
      <x:c r="A3" s="12" t="s">
        <x:v>144</x:v>
      </x:c>
      <x:c r="B3" s="28" t="s">
        <x:v>1811</x:v>
      </x:c>
      <x:c r="C3" s="28"/>
      <x:c r="D3" s="28"/>
      <x:c r="E3" s="28"/>
      <x:c r="F3" s="12" t="s">
        <x:v>146</x:v>
      </x:c>
      <x:c r="G3" s="14" t="s">
        <x:v>147</x:v>
      </x:c>
      <x:c r="J3" s="17" t="s">
        <x:v>366</x:v>
      </x:c>
      <x:c r="K3" s="17" t="s">
        <x:v>368</x:v>
      </x:c>
      <x:c r="L3" s="17" t="s">
        <x:v>1812</x:v>
      </x:c>
      <x:c r="M3" s="17" t="s">
        <x:v>1813</x:v>
      </x:c>
    </x:row>
    <x:row r="4" ht="29.25" customHeight="1">
      <x:c r="A4" s="12" t="s">
        <x:v>148</x:v>
      </x:c>
      <x:c r="B4" s="28" t="s">
        <x:v>369</x:v>
      </x:c>
      <x:c r="C4" s="28"/>
      <x:c r="D4" s="28"/>
      <x:c r="E4" s="28"/>
      <x:c r="F4" s="12" t="s">
        <x:v>150</x:v>
      </x:c>
      <x:c r="G4" s="14" t="s">
        <x:v>78</x:v>
      </x:c>
      <x:c r="J4" s="17" t="s">
        <x:v>370</x:v>
      </x:c>
      <x:c r="K4" s="17" t="s">
        <x:v>172</x:v>
      </x:c>
      <x:c r="L4" s="17" t="s">
        <x:v>1814</x:v>
      </x:c>
      <x:c r="M4" s="17" t="s">
        <x:v>1815</x:v>
      </x:c>
    </x:row>
    <x:row r="5" ht="46.5">
      <x:c r="A5" s="12" t="s">
        <x:v>151</x:v>
      </x:c>
      <x:c r="B5" s="28" t="s">
        <x:v>152</x:v>
      </x:c>
      <x:c r="C5" s="28"/>
      <x:c r="D5" s="28"/>
      <x:c r="E5" s="28"/>
      <x:c r="F5" s="12" t="s">
        <x:v>153</x:v>
      </x:c>
      <x:c r="G5" s="13" t="s">
        <x:v>77</x:v>
      </x:c>
    </x:row>
    <x:row r="6" ht="46.5">
      <x:c r="A6" s="12" t="s">
        <x:v>154</x:v>
      </x:c>
      <x:c r="B6" s="28" t="s">
        <x:v>1816</x:v>
      </x:c>
      <x:c r="C6" s="28"/>
      <x:c r="D6" s="28"/>
      <x:c r="E6" s="28"/>
      <x:c r="F6" s="28"/>
      <x:c r="G6" s="28"/>
    </x:row>
    <x:row r="7" ht="46.5">
      <x:c r="A7" s="12" t="s">
        <x:v>156</x:v>
      </x:c>
      <x:c r="B7" s="28" t="s">
        <x:v>1817</x:v>
      </x:c>
      <x:c r="C7" s="28"/>
      <x:c r="D7" s="28"/>
      <x:c r="E7" s="28"/>
      <x:c r="F7" s="28"/>
      <x:c r="G7" s="28"/>
    </x:row>
    <x:row r="9">
      <x:c r="A9" s="29" t="s">
        <x:v>158</x:v>
      </x:c>
      <x:c r="B9" s="29" t="s">
        <x:v>159</x:v>
      </x:c>
      <x:c r="C9" s="29"/>
      <x:c r="D9" s="29"/>
      <x:c r="E9" s="29" t="s">
        <x:v>160</x:v>
      </x:c>
      <x:c r="F9" s="29" t="s">
        <x:v>161</x:v>
      </x:c>
      <x:c r="G9" s="29" t="s">
        <x:v>162</x:v>
      </x:c>
    </x:row>
    <x:row r="10">
      <x:c r="A10" s="29"/>
      <x:c r="B10" s="15" t="s">
        <x:v>1818</x:v>
      </x:c>
      <x:c r="C10" s="15" t="s">
        <x:v>1819</x:v>
      </x:c>
      <x:c r="D10" s="15" t="s">
        <x:v>1820</x:v>
      </x:c>
      <x:c r="E10" s="29"/>
      <x:c r="F10" s="29"/>
      <x:c r="G10" s="29"/>
    </x:row>
    <x:row r="11" ht="46.5">
      <x:c r="A11" s="16" t="s">
        <x:v>1821</x:v>
      </x:c>
      <x:c r="B11" s="13" t="s">
        <x:v>1822</x:v>
      </x:c>
      <x:c r="C11" s="13" t="s">
        <x:v>1823</x:v>
      </x:c>
      <x:c r="D11" s="13" t="s">
        <x:v>171</x:v>
      </x:c>
      <x:c r="E11" s="13" t="s">
        <x:v>1824</x:v>
      </x:c>
      <x:c r="F11" s="13" t="s">
        <x:v>188</x:v>
      </x:c>
      <x:c r="G11" s="17" t="s">
        <x:v>5</x:v>
      </x:c>
    </x:row>
    <x:row r="12">
      <x:c r="A12" s="16" t="s">
        <x:v>1825</x:v>
      </x:c>
      <x:c r="B12" s="13" t="s">
        <x:v>1823</x:v>
      </x:c>
      <x:c r="C12" s="13" t="s">
        <x:v>1823</x:v>
      </x:c>
      <x:c r="D12" s="13" t="s">
        <x:v>171</x:v>
      </x:c>
      <x:c r="E12" s="13" t="s">
        <x:v>1826</x:v>
      </x:c>
      <x:c r="F12" s="13" t="s">
        <x:v>1209</x:v>
      </x:c>
      <x:c r="G12" s="17" t="s">
        <x:v>5</x:v>
      </x:c>
    </x:row>
    <x:row r="13">
      <x:c r="A13" s="16" t="s">
        <x:v>1827</x:v>
      </x:c>
      <x:c r="B13" s="13" t="s">
        <x:v>1823</x:v>
      </x:c>
      <x:c r="C13" s="13" t="s">
        <x:v>1822</x:v>
      </x:c>
      <x:c r="D13" s="13" t="s">
        <x:v>171</x:v>
      </x:c>
      <x:c r="E13" s="13" t="s">
        <x:v>1209</x:v>
      </x:c>
      <x:c r="F13" s="13" t="s">
        <x:v>1209</x:v>
      </x:c>
      <x:c r="G13" s="17" t="s">
        <x:v>5</x:v>
      </x:c>
    </x:row>
    <x:row r="14" ht="69.75">
      <x:c r="A14" s="16" t="s">
        <x:v>1828</x:v>
      </x:c>
      <x:c r="B14" s="13" t="s">
        <x:v>1823</x:v>
      </x:c>
      <x:c r="C14" s="13" t="s">
        <x:v>1829</x:v>
      </x:c>
      <x:c r="D14" s="13" t="s">
        <x:v>1809</x:v>
      </x:c>
      <x:c r="E14" s="13" t="s">
        <x:v>1830</x:v>
      </x:c>
      <x:c r="F14" s="13" t="s">
        <x:v>1831</x:v>
      </x:c>
      <x:c r="G14" s="17" t="s">
        <x:v>5</x:v>
      </x:c>
    </x:row>
    <x:row r="15">
      <x:c r="A15" s="16" t="s">
        <x:v>1832</x:v>
      </x:c>
      <x:c r="B15" s="13" t="s">
        <x:v>1823</x:v>
      </x:c>
      <x:c r="C15" s="13" t="s">
        <x:v>1829</x:v>
      </x:c>
      <x:c r="D15" s="13" t="s">
        <x:v>1812</x:v>
      </x:c>
      <x:c r="E15" s="13" t="s">
        <x:v>1833</x:v>
      </x:c>
      <x:c r="F15" s="13" t="s">
        <x:v>1833</x:v>
      </x:c>
      <x:c r="G15" s="17" t="s">
        <x:v>5</x:v>
      </x:c>
    </x:row>
    <x:row r="16" ht="69.75">
      <x:c r="A16" s="16" t="s">
        <x:v>1834</x:v>
      </x:c>
      <x:c r="B16" s="13" t="s">
        <x:v>1823</x:v>
      </x:c>
      <x:c r="C16" s="13" t="s">
        <x:v>1829</x:v>
      </x:c>
      <x:c r="D16" s="13" t="s">
        <x:v>1814</x:v>
      </x:c>
      <x:c r="E16" s="13" t="s">
        <x:v>1833</x:v>
      </x:c>
      <x:c r="F16" s="13" t="s">
        <x:v>1833</x:v>
      </x:c>
      <x:c r="G16" s="17" t="s">
        <x:v>5</x:v>
      </x:c>
    </x:row>
    <x:row r="17" ht="69.75">
      <x:c r="A17" s="16" t="s">
        <x:v>1835</x:v>
      </x:c>
      <x:c r="B17" s="13" t="s">
        <x:v>1823</x:v>
      </x:c>
      <x:c r="C17" s="13" t="s">
        <x:v>1829</x:v>
      </x:c>
      <x:c r="D17" s="13" t="s">
        <x:v>1810</x:v>
      </x:c>
      <x:c r="E17" s="13" t="s">
        <x:v>1833</x:v>
      </x:c>
      <x:c r="F17" s="13" t="s">
        <x:v>1833</x:v>
      </x:c>
      <x:c r="G17" s="17" t="s">
        <x:v>5</x:v>
      </x:c>
    </x:row>
    <x:row r="18" ht="69.75">
      <x:c r="A18" s="16" t="s">
        <x:v>1836</x:v>
      </x:c>
      <x:c r="B18" s="13" t="s">
        <x:v>1823</x:v>
      </x:c>
      <x:c r="C18" s="13" t="s">
        <x:v>1829</x:v>
      </x:c>
      <x:c r="D18" s="13" t="s">
        <x:v>1813</x:v>
      </x:c>
      <x:c r="E18" s="13" t="s">
        <x:v>1833</x:v>
      </x:c>
      <x:c r="F18" s="13" t="s">
        <x:v>1833</x:v>
      </x:c>
      <x:c r="G18" s="17" t="s">
        <x:v>5</x:v>
      </x:c>
    </x:row>
    <x:row r="19">
      <x:c r="A19" s="16" t="s">
        <x:v>1837</x:v>
      </x:c>
      <x:c r="B19" s="13" t="s">
        <x:v>1823</x:v>
      </x:c>
      <x:c r="C19" s="13" t="s">
        <x:v>1829</x:v>
      </x:c>
      <x:c r="D19" s="13" t="s">
        <x:v>1815</x:v>
      </x:c>
      <x:c r="E19" s="13" t="s">
        <x:v>1831</x:v>
      </x:c>
      <x:c r="F19" s="13" t="s">
        <x:v>1831</x:v>
      </x:c>
      <x:c r="G19" s="17" t="s">
        <x:v>5</x:v>
      </x:c>
    </x:row>
    <x:row r="20" ht="46.5">
      <x:c r="A20" s="16" t="s">
        <x:v>1838</x:v>
      </x:c>
      <x:c r="B20" s="13" t="s">
        <x:v>179</x:v>
      </x:c>
      <x:c r="C20" s="13" t="s">
        <x:v>1829</x:v>
      </x:c>
      <x:c r="D20" s="13" t="s">
        <x:v>171</x:v>
      </x:c>
      <x:c r="E20" s="13" t="s">
        <x:v>1839</x:v>
      </x:c>
      <x:c r="F20" s="13" t="s">
        <x:v>188</x:v>
      </x:c>
      <x:c r="G20" s="17" t="s">
        <x:v>5</x:v>
      </x:c>
    </x:row>
  </x:sheetData>
  <x:mergeCells>
    <x:mergeCell ref="A1:G1"/>
    <x:mergeCell ref="B3:E3"/>
    <x:mergeCell ref="B4:E4"/>
    <x:mergeCell ref="B5:E5"/>
    <x:mergeCell ref="B6:G6"/>
    <x:mergeCell ref="B7:G7"/>
    <x:mergeCell ref="A9:A10"/>
    <x:mergeCell ref="B9:D9"/>
    <x:mergeCell ref="E9:E10"/>
    <x:mergeCell ref="F9:F10"/>
    <x:mergeCell ref="G9:G10"/>
  </x:mergeCells>
  <x:conditionalFormatting sqref="G11:G20">
    <x:cfRule type="cellIs" dxfId="2" priority="1" operator="equal">
      <x:formula>"Pass"</x:formula>
    </x:cfRule>
    <x:cfRule type="cellIs" dxfId="1" priority="2" operator="equal">
      <x:formula>"Fail"</x:formula>
    </x:cfRule>
    <x:cfRule type="cellIs" dxfId="0" priority="3" operator="equal">
      <x:formula>"Block"</x:formula>
    </x:cfRule>
  </x:conditionalFormatting>
  <x:dataValidations count="1">
    <x:dataValidation type="list" allowBlank="1" sqref="G11:G20">
      <x:formula1>"Pass,Fail,No run,Block"</x:formula1>
      <x:formula2>0</x:formula2>
    </x:dataValidation>
  </x:dataValidations>
  <x:pageMargins left="0.7" right="0.7" top="0.75" bottom="0.75" header="0.3" footer="0.3"/>
</x:worksheet>
</file>