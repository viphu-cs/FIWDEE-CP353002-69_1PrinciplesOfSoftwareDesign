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ProjectPOS\FIWDEE-CP353002-69_1PrinciplesOfSoftwareDesign\test\"/>
    </mc:Choice>
  </mc:AlternateContent>
  <xr:revisionPtr revIDLastSave="0" documentId="13_ncr:1_{4227400A-8ED7-4AD7-933B-3A00523F3264}" xr6:coauthVersionLast="47" xr6:coauthVersionMax="47" xr10:uidLastSave="{00000000-0000-0000-0000-000000000000}"/>
  <bookViews>
    <workbookView xWindow="-120" yWindow="-120" windowWidth="29040" windowHeight="15720" firstSheet="6" activeTab="10" xr2:uid="{00000000-000D-0000-FFFF-FFFF00000000}"/>
  </bookViews>
  <sheets>
    <sheet name="Test Summary" sheetId="1" r:id="rId1"/>
    <sheet name="Defect Summary" sheetId="16" r:id="rId2"/>
    <sheet name="Test Environment" sheetId="3" r:id="rId3"/>
    <sheet name="IT01_ConflictQuery_BVA" sheetId="4" r:id="rId4"/>
    <sheet name="IT02_JpaMapping_EC" sheetId="5" r:id="rId5"/>
    <sheet name="IT03_AuthJwt_EC" sheetId="6" r:id="rId6"/>
    <sheet name="IT04_RoleAccess_DT" sheetId="7" r:id="rId7"/>
    <sheet name="IT05_ErrorContract_EC" sheetId="8" r:id="rId8"/>
    <sheet name="IT06_CreateBookingApi_DT" sheetId="9" r:id="rId9"/>
    <sheet name="IT07_AvailabilityApi_BVA" sheetId="10" r:id="rId10"/>
    <sheet name="IT08_CancelApi_DT" sheetId="11" r:id="rId11"/>
    <sheet name="IT09_PaymentRefundApi_EC" sheetId="12" r:id="rId12"/>
    <sheet name="IT10_CheckInQueue_EC" sheetId="13" r:id="rId13"/>
    <sheet name="IT11_EndToEndFlow_SC" sheetId="14" r:id="rId14"/>
    <sheet name="IT12_AdminConfigImpact_EC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G18" i="1"/>
  <c r="F18" i="1"/>
  <c r="E18" i="1"/>
  <c r="D18" i="1"/>
  <c r="H17" i="1"/>
  <c r="G17" i="1"/>
  <c r="F17" i="1"/>
  <c r="E17" i="1"/>
  <c r="D17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5" i="1"/>
  <c r="G5" i="1"/>
  <c r="F5" i="1"/>
  <c r="E5" i="1"/>
  <c r="D5" i="1"/>
  <c r="H4" i="1"/>
  <c r="G4" i="1"/>
  <c r="F4" i="1"/>
  <c r="E4" i="1"/>
  <c r="D4" i="1"/>
  <c r="H19" i="1" l="1"/>
  <c r="D19" i="1"/>
  <c r="E19" i="1"/>
  <c r="F19" i="1"/>
  <c r="G19" i="1"/>
</calcChain>
</file>

<file path=xl/sharedStrings.xml><?xml version="1.0" encoding="utf-8"?>
<sst xmlns="http://schemas.openxmlformats.org/spreadsheetml/2006/main" count="1886" uniqueCount="908">
  <si>
    <t>FIWDEE – Integration Test Design (backend + PostgreSQL, เวอร์ชัน develop ล่าสุด)</t>
  </si>
  <si>
    <t>No</t>
  </si>
  <si>
    <t>Integration area</t>
  </si>
  <si>
    <t>Test Strategy</t>
  </si>
  <si>
    <t>No. of Test Cases</t>
  </si>
  <si>
    <t>Pass</t>
  </si>
  <si>
    <t>Fail</t>
  </si>
  <si>
    <t>No run</t>
  </si>
  <si>
    <t>Block</t>
  </si>
  <si>
    <t>Remark / Defect ID</t>
  </si>
  <si>
    <t>A. Repository + PostgreSQL</t>
  </si>
  <si>
    <t>IT01 – BookingRepository – query หาการจองที่ชนกัน (JPQL จริงบน PostgreSQL)</t>
  </si>
  <si>
    <t>Boundary Value (Robustness, ขอบด้านเดียว)</t>
  </si>
  <si>
    <t>IT02 – Repository / JPA mapping บน PostgreSQL จริง</t>
  </si>
  <si>
    <t>Weak Robust Equivalence Class</t>
  </si>
  <si>
    <t>B. API + Security</t>
  </si>
  <si>
    <t>IT03 – Authentication: AuthController + JwtAuthenticationFilter + UserRepository</t>
  </si>
  <si>
    <t>IT04 – สิทธิ์การเข้าถึงตาม role: SecurityConfig + JwtAuthenticationFilter + Controller</t>
  </si>
  <si>
    <t>Decision Table (Extended Entry: role × endpoint)</t>
  </si>
  <si>
    <t>DEF-015</t>
  </si>
  <si>
    <t>IT05 – รูปแบบ error ของ API: Bean Validation + GlobalExceptionHandler</t>
  </si>
  <si>
    <t>DEF-019</t>
  </si>
  <si>
    <t>C. Business flow ผ่าน API + DB</t>
  </si>
  <si>
    <t>IT06 – สร้างการจอง: BookingController → BookingServiceImpl → Repository ทั้ง 7 ตัว → PostgreSQL</t>
  </si>
  <si>
    <t>Decision Table (Limited Entry)</t>
  </si>
  <si>
    <t>IT07 – ตรวจช่วงเวลาว่าง: BookingController → AvailabilityServiceImpl → BusinessHours/Skill/Room/Booking repositories</t>
  </si>
  <si>
    <t>Boundary Value (จำนวนทรัพยากรที่เหลือ และเวลาปิดร้าน)</t>
  </si>
  <si>
    <t>IT08 – ยกเลิกการจอง: BookingController → BookingServiceImpl → State Pattern → PostgreSQL</t>
  </si>
  <si>
    <t>IT09 – ชำระเงินและคืนเงิน: Payment/RefundController → Service → Strategy (ของจริง) → PostgreSQL</t>
  </si>
  <si>
    <t>Weak Robust Equivalence Class (+ Stub ที่ Payment Strategy)</t>
  </si>
  <si>
    <t>IT10 – Check-in และคิว: FrontDesk/QueueController → QueueServiceImpl → Event → QueueListener (Observer) → PostgreSQL</t>
  </si>
  <si>
    <t>Weak Robust Equivalence Class (+ Spy ที่ QueueListener)</t>
  </si>
  <si>
    <t>D. End-to-end scenario</t>
  </si>
  <si>
    <t>IT11 – Flow ทั้งระบบตาม sequence diagram (หลาย controller ต่อเนื่องกันบนฐานข้อมูลเดียว)</t>
  </si>
  <si>
    <t>Scenario-based (Use-case flow) แบ่งกลุ่มแบบ Equivalence Class ของเส้นทาง</t>
  </si>
  <si>
    <t>IT12 – ผลของการตั้งค่าหลังบ้านต่อการจอง: AdminResourceController → Room/Service/Therapist/Shop service → Booking/Availability</t>
  </si>
  <si>
    <t>Weak Robust Equivalence Class (ข้ามโมดูล)</t>
  </si>
  <si>
    <t>Total</t>
  </si>
  <si>
    <t>ฐานข้อมูล</t>
  </si>
  <si>
    <t>findConflictingTherapistBookings • findConflictingRoomBookingsWithCleaningBuffer (buffer 15 นาที) • excludedStatuses = [CANCELLED, NO_SHOW]</t>
  </si>
  <si>
    <t>findDetailedById (@EntityGraph) • findAdminBookings • findCompletedPaymentsBetween • findUsersPage • unique constraint ของตาราง</t>
  </si>
  <si>
    <t>POST /api/auth/register • POST /api/auth/login • GET/PUT /api/auth/me • ทุก request ผ่าน JwtAuthenticationFilter</t>
  </si>
  <si>
    <t>SecurityFilterChain.authorizeHttpRequests ทุก endpoint กลุ่มหลัก • ใช้ id 999999 ที่ไม่มีจริง เพื่อแยกผลของ security (401/403) ออกจากผลของ service (404)</t>
  </si>
  <si>
    <t>ทุก controller → GlobalExceptionHandler → ApiResponse {success:false, message, errors?}</t>
  </si>
  <si>
    <t>POST /api/bookings • GET /api/bookings/my • GET /api/bookings/{id}</t>
  </si>
  <si>
    <t>GET /api/bookings/availability?date=D&amp;serviceId=THAI&amp;durationMinutes=60</t>
  </si>
  <si>
    <t>PATCH /api/bookings/{id}/cancel (body {reason} ไม่บังคับ)</t>
  </si>
  <si>
    <t>POST /api/bookings/{id}/payment • GET /api/payments/{id}/receipt • POST /api/payments/{id}/refund • GET /api/admin/reports/revenue</t>
  </si>
  <si>
    <t>PATCH /api/bookings/{id}/check-in • POST /api/admin/queue/call-next • PATCH /api/admin/queue/{id}/status • GET /api/admin/queue • GET /api/therapist/me/schedule</t>
  </si>
  <si>
    <t>check-in → call-next → start → complete → payment → review • online booking • cancel • concurrency</t>
  </si>
  <si>
    <t>POST/DELETE /api/admin/rooms • POST/DELETE /api/admin/services • PUT /api/admin/therapists/{id}/schedules • PUT /api/admin/shop • POST /api/admin/therapists</t>
  </si>
  <si>
    <t>สภาพแวดล้อมและข้อมูลตั้งต้นของ Integration Test</t>
  </si>
  <si>
    <t>รายการ</t>
  </si>
  <si>
    <t>ค่า</t>
  </si>
  <si>
    <t>หมายเหตุ</t>
  </si>
  <si>
    <t>PostgreSQL 16 (container fiwdee-postgres) ฐาน fiwdee_test</t>
  </si>
  <si>
    <t>สร้างครั้งเดียว: docker exec fiwdee-postgres createdb -U postgres fiwdee_test</t>
  </si>
  <si>
    <t>Spring profile</t>
  </si>
  <si>
    <t>it (src/test/resources/application-it.properties)</t>
  </si>
  <si>
    <t>ddl-auto = create-drop • ปิด DemoDataSeeder และ AdminAccountInitializer ให้เหลือแต่ DataSeeder</t>
  </si>
  <si>
    <t>คำสั่งรัน</t>
  </si>
  <si>
    <t>./mvnw test -Dgroups=integration</t>
  </si>
  <si>
    <t>Windows: mvnw.cmd test "-Dgroups=integration" • ข้ามเคส defect: เติม -DexcludedGroups=known-defect</t>
  </si>
  <si>
    <t>วัน D</t>
  </si>
  <si>
    <t>วันนี้ + 7 วัน</t>
  </si>
  <si>
    <t>ใช้กับการจองผ่าน API • ทุกเคสสร้างกะ 10:00–18:00 ของหมอนวดทุกคนในวัน D ไว้ก่อน (ให้ผลเหมือนเดิมแม้ทีมแก้ DEF-005)</t>
  </si>
  <si>
    <t>Owner</t>
  </si>
  <si>
    <t>owner / pass123</t>
  </si>
  <si>
    <t>จาก DataSeeder</t>
  </si>
  <si>
    <t>Receptionist</t>
  </si>
  <si>
    <t>receptionist / pass123</t>
  </si>
  <si>
    <t>Therapist</t>
  </si>
  <si>
    <t>therapist1 – therapist6 / pass123</t>
  </si>
  <si>
    <t>ทักษะ: THAI = 1, 2, 4, 6 • AROMA = 2, 3, 5, 6 • HOT_OIL = 3, 4, 6 • FOOT = 1, 5, 6</t>
  </si>
  <si>
    <t>Customer</t>
  </si>
  <si>
    <t>สมัครใหม่ทุกเคสผ่าน POST /api/auth/register</t>
  </si>
  <si>
    <t>อีเมลขึ้นต้น it. แล้วถูกลบตอนล้างข้อมูล</t>
  </si>
  <si>
    <t>ห้อง</t>
  </si>
  <si>
    <t>Room 1, Room 2 = SINGLE • Room 3, 4 = COUPLE • Room 5 = VIP • Room 6 = FOOT_MASSAGE</t>
  </si>
  <si>
    <t>buffer ทำความสะอาด 15 นาทีทุกห้อง</t>
  </si>
  <si>
    <t>บริการ</t>
  </si>
  <si>
    <t>THAI 60/90/120 = 500/700/900 (SINGLE) • AROMA 700/950/1200 (SINGLE) • HOT_OIL (VIP) • FOOT (FOOT_MASSAGE)</t>
  </si>
  <si>
    <t>เวลาทำการ</t>
  </si>
  <si>
    <t>10:00–22:00 ทุกวัน</t>
  </si>
  <si>
    <t>ช่วงใกล้เที่ยงคืน</t>
  </si>
  <si>
    <t>เคสที่ใช้ booking วันนี้ (IT10, IT11-TC001–003) ข้ามตัวเองช่วง 23:50–00:00</t>
  </si>
  <si>
    <t>แสดงเป็น Skipped เพราะโค้ดใช้ LocalDateTime.now() ตรง ๆ (Open Question Q1 ของรอบ Unit)</t>
  </si>
  <si>
    <t>การล้างข้อมูล</t>
  </si>
  <si>
    <t>หลังทุกเคส: TRUNCATE bookings, payments, refunds, reviews, queue_items และลบข้อมูลที่ขึ้นต้น it. / IT-</t>
  </si>
  <si>
    <t>คืนค่าห้อง บริการ ผู้ใช้ และเวลาทำการเป็นค่าตั้งต้น</t>
  </si>
  <si>
    <t>Test Case Design and Test Results</t>
  </si>
  <si>
    <t>ปลายช่วงที่ค้นหา เทียบ 11:00</t>
  </si>
  <si>
    <t>ต้นช่วงที่ค้นหา เทียบ 12:00</t>
  </si>
  <si>
    <t>ห้อง: ต้นช่วง เทียบ 12:15</t>
  </si>
  <si>
    <t>ห้อง: ปลายช่วง เทียบ 10:45</t>
  </si>
  <si>
    <t>ขอบ-1</t>
  </si>
  <si>
    <t>10:59</t>
  </si>
  <si>
    <t>11:59</t>
  </si>
  <si>
    <t>12:14</t>
  </si>
  <si>
    <t>10:44</t>
  </si>
  <si>
    <t xml:space="preserve">Project Name: </t>
  </si>
  <si>
    <t>BookingRepository – query หาการจองที่ชนกัน (JPQL จริงบน PostgreSQL)</t>
  </si>
  <si>
    <t xml:space="preserve">Student ID: </t>
  </si>
  <si>
    <t>ขอบ</t>
  </si>
  <si>
    <t>11:00</t>
  </si>
  <si>
    <t>12:00</t>
  </si>
  <si>
    <t>12:15</t>
  </si>
  <si>
    <t>10:45</t>
  </si>
  <si>
    <t xml:space="preserve">Test Strategy: </t>
  </si>
  <si>
    <t>Integration testing - Boundary Value (Robustness, ขอบด้านเดียว)</t>
  </si>
  <si>
    <t xml:space="preserve">Designer: </t>
  </si>
  <si>
    <t>ขอบ+1</t>
  </si>
  <si>
    <t>11:01</t>
  </si>
  <si>
    <t>12:01</t>
  </si>
  <si>
    <t>12:16</t>
  </si>
  <si>
    <t>10:46</t>
  </si>
  <si>
    <t xml:space="preserve">Test Environtment: </t>
  </si>
  <si>
    <t>Date:</t>
  </si>
  <si>
    <t xml:space="preserve">Method under test: </t>
  </si>
  <si>
    <t xml:space="preserve">Requirement อ้างอิง: </t>
  </si>
  <si>
    <t>UC-08a, UC-08b, UC-08c • BR-RES-01 (buffer 15 นาที)</t>
  </si>
  <si>
    <t>Test Case ID</t>
  </si>
  <si>
    <t>Input</t>
  </si>
  <si>
    <t>Expected Result</t>
  </si>
  <si>
    <t>Actual Result</t>
  </si>
  <si>
    <t>Status (Pass/Fail/No run)</t>
  </si>
  <si>
    <t>query</t>
  </si>
  <si>
    <t>ช่วงที่ค้นหา (วัน D)</t>
  </si>
  <si>
    <t>booking เดิม</t>
  </si>
  <si>
    <t>IT01-TC001</t>
  </si>
  <si>
    <t>therapist</t>
  </si>
  <si>
    <t>09:59–10:59</t>
  </si>
  <si>
    <t>CONFIRMED</t>
  </si>
  <si>
    <t>0 รายการ (ขอบ−1)</t>
  </si>
  <si>
    <t>IT01-TC002</t>
  </si>
  <si>
    <t>10:00–11:00</t>
  </si>
  <si>
    <t>0 รายการ (จบตรงกับเวลาเริ่ม = ไม่ชน)</t>
  </si>
  <si>
    <t>IT01-TC003</t>
  </si>
  <si>
    <t>10:01–11:01</t>
  </si>
  <si>
    <t>1 รายการ (ขอบ+1)</t>
  </si>
  <si>
    <t>IT01-TC004</t>
  </si>
  <si>
    <t>11:59–12:59</t>
  </si>
  <si>
    <t>1 รายการ</t>
  </si>
  <si>
    <t>IT01-TC005</t>
  </si>
  <si>
    <t>12:00–13:00</t>
  </si>
  <si>
    <t>0 รายการ (เริ่มตรงกับเวลาจบ = ไม่ชน)</t>
  </si>
  <si>
    <t>IT01-TC006</t>
  </si>
  <si>
    <t>12:01–13:01</t>
  </si>
  <si>
    <t>0 รายการ</t>
  </si>
  <si>
    <t>IT01-TC007</t>
  </si>
  <si>
    <t>11:00–12:00 (ตรงกันพอดี)</t>
  </si>
  <si>
    <t>1 รายการ (nom)</t>
  </si>
  <si>
    <t>IT01-TC008</t>
  </si>
  <si>
    <t>10:00–13:00 (ครอบทั้งช่วง)</t>
  </si>
  <si>
    <t>IT01-TC009</t>
  </si>
  <si>
    <t>room + buffer</t>
  </si>
  <si>
    <t>12:14–13:14</t>
  </si>
  <si>
    <t>1 รายการ (ยังอยู่ใน buffer)</t>
  </si>
  <si>
    <t>IT01-TC010</t>
  </si>
  <si>
    <t>12:15–13:15</t>
  </si>
  <si>
    <t>0 รายการ (พ้น buffer พอดี)</t>
  </si>
  <si>
    <t>IT01-TC011</t>
  </si>
  <si>
    <t>12:16–13:16</t>
  </si>
  <si>
    <t>IT01-TC012</t>
  </si>
  <si>
    <t>09:44–10:44</t>
  </si>
  <si>
    <t>IT01-TC013</t>
  </si>
  <si>
    <t>09:45–10:45</t>
  </si>
  <si>
    <t>0 รายการ (buffer ก่อนหน้าแตะ 11:00 พอดี)</t>
  </si>
  <si>
    <t>IT01-TC014</t>
  </si>
  <si>
    <t>09:46–10:46</t>
  </si>
  <si>
    <t>IT01-TC015</t>
  </si>
  <si>
    <t>11:00–12:00</t>
  </si>
  <si>
    <t>CANCELLED</t>
  </si>
  <si>
    <t>0 รายการ (สถานะที่ไม่นับ)</t>
  </si>
  <si>
    <t>IT01-TC016</t>
  </si>
  <si>
    <t>NO_SHOW</t>
  </si>
  <si>
    <t>IT01-TC017</t>
  </si>
  <si>
    <t>PENDING</t>
  </si>
  <si>
    <t>1 รายการ (PENDING ยังล็อกเวลา)</t>
  </si>
  <si>
    <t>IT01-TC018</t>
  </si>
  <si>
    <t>therapist (therapist2)</t>
  </si>
  <si>
    <t>CONFIRMED ของ therapist1</t>
  </si>
  <si>
    <t>0 รายการ (คนละหมอนวด)</t>
  </si>
  <si>
    <t>Equivalence Class Design</t>
  </si>
  <si>
    <t>Valid EC</t>
  </si>
  <si>
    <t>Invalid EC</t>
  </si>
  <si>
    <t>EC ID</t>
  </si>
  <si>
    <t>Condition</t>
  </si>
  <si>
    <t>V1</t>
  </si>
  <si>
    <t>@EntityGraph โหลดความสัมพันธ์ครบ ใช้นอก transaction ได้</t>
  </si>
  <si>
    <t>I1</t>
  </si>
  <si>
    <t>payment ซ้ำ booking เดียวกัน</t>
  </si>
  <si>
    <t>V2</t>
  </si>
  <si>
    <t>query ที่ parameter เป็น null ทั้งหมด</t>
  </si>
  <si>
    <t>I2</t>
  </si>
  <si>
    <t>review ซ้ำ booking เดียวกัน</t>
  </si>
  <si>
    <t>V3</t>
  </si>
  <si>
    <t>ค้นหาแบบไม่สนตัวพิมพ์</t>
  </si>
  <si>
    <t>I3</t>
  </si>
  <si>
    <t>เลขคิวซ้ำในวันเดียวกัน</t>
  </si>
  <si>
    <t>V4</t>
  </si>
  <si>
    <t>กรองสถานะ / วันที่ / แบ่งหน้า</t>
  </si>
  <si>
    <t>V5</t>
  </si>
  <si>
    <t>รวมยอด payment ตามสถานะและช่วงเวลา (ขอบรวม)</t>
  </si>
  <si>
    <t>V6</t>
  </si>
  <si>
    <t>enum เก็บเป็นข้อความ</t>
  </si>
  <si>
    <t>Repository / JPA mapping บน PostgreSQL จริง</t>
  </si>
  <si>
    <t>Integration testing - Weak Robust Equivalence Class</t>
  </si>
  <si>
    <t>ER diagram (doc/er-diagram.md) • UC-09 (ค้นหา/แบ่งหน้า) • UC-22</t>
  </si>
  <si>
    <t>repository / ข้อมูลตั้งต้น</t>
  </si>
  <si>
    <t>การเรียก</t>
  </si>
  <si>
    <t>IT02-TC001</t>
  </si>
  <si>
    <t>booking D 10:00</t>
  </si>
  <si>
    <t>findDetailedById แล้วอ่าน customer, therapist, room, service, durationOption นอก transaction</t>
  </si>
  <si>
    <t>(V1) อ่านได้ครบ ไม่เกิด LazyInitializationException</t>
  </si>
  <si>
    <t>IT02-TC002</t>
  </si>
  <si>
    <t>booking 3 รายการ</t>
  </si>
  <si>
    <t>findAdminBookings(null, null, null, null, page 0 size 10 เรียง startDateTime desc)</t>
  </si>
  <si>
    <t>(V2) ไม่ error บน PostgreSQL • ได้ 3 รายการ เรียงจากใหม่ไปเก่า</t>
  </si>
  <si>
    <t>IT02-TC003</t>
  </si>
  <si>
    <t>ลูกค้าชื่อ "Somchai ITSEARCH"</t>
  </si>
  <si>
    <t>search = "itsearch"</t>
  </si>
  <si>
    <t>(V3) ได้เฉพาะ booking ของลูกค้าคนนี้</t>
  </si>
  <si>
    <t>IT02-TC004</t>
  </si>
  <si>
    <t>status = CANCELLED</t>
  </si>
  <si>
    <t>(V4) ได้ 1 รายการ สถานะ CANCELLED</t>
  </si>
  <si>
    <t>IT02-TC005</t>
  </si>
  <si>
    <t>date = D</t>
  </si>
  <si>
    <t>(V4) ได้ 2 รายการ (ไม่รวม D+1)</t>
  </si>
  <si>
    <t>IT02-TC006</t>
  </si>
  <si>
    <t>page 0 size 2</t>
  </si>
  <si>
    <t>(V4) content 2 รายการ, totalElements 3, totalPages 2</t>
  </si>
  <si>
    <t>IT02-TC007</t>
  </si>
  <si>
    <t>payment COMPLETED, REFUNDED, PENDING, FAILED (paidAt อยู่ในช่วง)</t>
  </si>
  <si>
    <t>findCompletedPaymentsBetween</t>
  </si>
  <si>
    <t>(V5) ได้ 2 รายการ: COMPLETED กับ REFUNDED</t>
  </si>
  <si>
    <t>IT02-TC008</t>
  </si>
  <si>
    <t>paidAt = ต้นช่วง, ปลายช่วง, ต้นช่วง−1 วินาที, ปลายช่วง+1 วินาที</t>
  </si>
  <si>
    <t>(V5) ได้ 2 รายการที่อยู่ตรงขอบพอดี</t>
  </si>
  <si>
    <t>IT02-TC009</t>
  </si>
  <si>
    <t>ผู้ใช้จาก seed</t>
  </si>
  <si>
    <t>findUsersPage(null, null)</t>
  </si>
  <si>
    <t>(V2) ไม่ error • ได้ผู้ใช้อย่างน้อย 8 คน</t>
  </si>
  <si>
    <t>IT02-TC010</t>
  </si>
  <si>
    <t>findUsersPage(THERAPIST, "five")</t>
  </si>
  <si>
    <t>(V3) ได้ 1 คน (Therapist Five)</t>
  </si>
  <si>
    <t>IT02-TC011</t>
  </si>
  <si>
    <t>booking ที่มี payment แล้ว</t>
  </si>
  <si>
    <t>save payment ใบที่ 2</t>
  </si>
  <si>
    <t>(I1) DataIntegrityViolationException</t>
  </si>
  <si>
    <t>IT02-TC012</t>
  </si>
  <si>
    <t>booking ที่มี review แล้ว</t>
  </si>
  <si>
    <t>save review ใบที่ 2</t>
  </si>
  <si>
    <t>(I2) DataIntegrityViolationException</t>
  </si>
  <si>
    <t>IT02-TC013</t>
  </si>
  <si>
    <t>คิว Q001 วันนี้มีแล้ว</t>
  </si>
  <si>
    <t>save คิว Q001 วันเดียวกันของอีก booking</t>
  </si>
  <si>
    <t>(I3) DataIntegrityViolationException</t>
  </si>
  <si>
    <t>IT02-TC014</t>
  </si>
  <si>
    <t>booking CONFIRMED</t>
  </si>
  <si>
    <t>SELECT status FROM bookings (SQL ตรง)</t>
  </si>
  <si>
    <t>(V6) ได้ข้อความ "CONFIRMED"</t>
  </si>
  <si>
    <t>สมัครแล้วใช้ token ได้ทันที</t>
  </si>
  <si>
    <t>รหัสผ่านผิด</t>
  </si>
  <si>
    <t>login บัญชี seed แล้วใช้สิทธิ์ตาม role</t>
  </si>
  <si>
    <t>ไม่มี token</t>
  </si>
  <si>
    <t>แก้โปรไฟล์ตัวเองแล้วบันทึกลงฐานข้อมูล</t>
  </si>
  <si>
    <t>token ผิดรูป</t>
  </si>
  <si>
    <t>login แล้วบันทึก last_login_at</t>
  </si>
  <si>
    <t>I4</t>
  </si>
  <si>
    <t>token หมดอายุ</t>
  </si>
  <si>
    <t>I5</t>
  </si>
  <si>
    <t>token เซ็นด้วย key อื่น</t>
  </si>
  <si>
    <t>I6</t>
  </si>
  <si>
    <t>ผู้ใช้ถูกระงับหลังได้ token</t>
  </si>
  <si>
    <t>I7</t>
  </si>
  <si>
    <t>อีเมลซ้ำ</t>
  </si>
  <si>
    <t>I8</t>
  </si>
  <si>
    <t>ข้อมูลสมัครไม่ผ่าน @Valid</t>
  </si>
  <si>
    <t>Authentication: AuthController + JwtAuthenticationFilter + UserRepository</t>
  </si>
  <si>
    <t>UC-01, UC-02, UC-03 • SRS 7.4 • AGENTS.md §5 (ApiResponse)</t>
  </si>
  <si>
    <t>ข้อมูลตั้งต้น</t>
  </si>
  <si>
    <t>Request</t>
  </si>
  <si>
    <t>IT03-TC001</t>
  </si>
  <si>
    <t>−</t>
  </si>
  <si>
    <t>POST /register (อีเมลใหม่) → GET /me ด้วย token ที่ได้</t>
  </si>
  <si>
    <t>(V1) 201 มี token • /me 200 role CUSTOMER อีเมลตรงกัน</t>
  </si>
  <si>
    <t>IT03-TC002</t>
  </si>
  <si>
    <t>POST /login → GET /api/admin/users ด้วย token</t>
  </si>
  <si>
    <t>(V2) 200 role OWNER • /api/admin/users 200</t>
  </si>
  <si>
    <t>IT03-TC003</t>
  </si>
  <si>
    <t>owner</t>
  </si>
  <si>
    <t>POST /login รหัส "wrong"</t>
  </si>
  <si>
    <t>(I1) 401 {success:false, message:"อีเมลหรือรหัสผ่านไม่ถูกต้อง"}</t>
  </si>
  <si>
    <t>IT03-TC004</t>
  </si>
  <si>
    <t>GET /me ไม่มี header Authorization</t>
  </si>
  <si>
    <t>(I2) 401 JSON message "Authentication required..."</t>
  </si>
  <si>
    <t>IT03-TC005</t>
  </si>
  <si>
    <t>GET /me ด้วย "Bearer abc"</t>
  </si>
  <si>
    <t>(I3) 401</t>
  </si>
  <si>
    <t>IT03-TC006</t>
  </si>
  <si>
    <t>token หมดอายุ (secret เดียวกัน, อายุ −1 วินาที)</t>
  </si>
  <si>
    <t>GET /me</t>
  </si>
  <si>
    <t>(I4) 401</t>
  </si>
  <si>
    <t>IT03-TC007</t>
  </si>
  <si>
    <t>token จาก secret อื่น</t>
  </si>
  <si>
    <t>(I5) 401</t>
  </si>
  <si>
    <t>IT03-TC008</t>
  </si>
  <si>
    <t>ลูกค้าได้ token แล้วถูกตั้ง is_active = false</t>
  </si>
  <si>
    <t>(I6) 401 (filter ตรวจสถานะจากฐานข้อมูลทุก request)</t>
  </si>
  <si>
    <t>IT03-TC009</t>
  </si>
  <si>
    <t>ลูกค้า login อยู่</t>
  </si>
  <si>
    <t>PUT /me แก้ชื่อ และ healthNotes → GET /me</t>
  </si>
  <si>
    <t>(V3) 200 • ค่าใหม่อยู่ในตาราง users / customers และ /me แสดงค่าใหม่</t>
  </si>
  <si>
    <t>IT03-TC010</t>
  </si>
  <si>
    <t>อีเมลนี้สมัครไว้แล้ว</t>
  </si>
  <si>
    <t>POST /register อีเมลเดิม</t>
  </si>
  <si>
    <t>(I7) 409 JSON success:false</t>
  </si>
  <si>
    <t>IT03-TC011</t>
  </si>
  <si>
    <t>POST /register email "abc", password "123"</t>
  </si>
  <si>
    <t>(I8) 400 message "Validation failed" • errors มี email และ password</t>
  </si>
  <si>
    <t>IT03-TC012</t>
  </si>
  <si>
    <t>POST /login สำเร็จ</t>
  </si>
  <si>
    <t>(V4) users.last_login_at ไม่เป็น null</t>
  </si>
  <si>
    <t>Rule#1</t>
  </si>
  <si>
    <t>Rule#2</t>
  </si>
  <si>
    <t>Rule#3</t>
  </si>
  <si>
    <t>Rule#4</t>
  </si>
  <si>
    <t>Rule#5</t>
  </si>
  <si>
    <t>C1: role ของผู้เรียก</t>
  </si>
  <si>
    <t>ANON</t>
  </si>
  <si>
    <t>CUSTOMER</t>
  </si>
  <si>
    <t>THERAPIST</t>
  </si>
  <si>
    <t>RECEPTIONIST</t>
  </si>
  <si>
    <t>OWNER</t>
  </si>
  <si>
    <t>Action</t>
  </si>
  <si>
    <t>E1: GET /services</t>
  </si>
  <si>
    <t>ผ่าน</t>
  </si>
  <si>
    <t>E2: GET /bookings/my</t>
  </si>
  <si>
    <t>401</t>
  </si>
  <si>
    <t>E3: GET /admin/rooms</t>
  </si>
  <si>
    <t>403</t>
  </si>
  <si>
    <t>E4: GET /admin/users</t>
  </si>
  <si>
    <t>E5: GET /admin/reports/revenue</t>
  </si>
  <si>
    <t>E6: PATCH /bookings/{x}/status</t>
  </si>
  <si>
    <t>E7: POST /payments/{x}/refund</t>
  </si>
  <si>
    <t>E8: GET /admin/queue</t>
  </si>
  <si>
    <t>E9: PATCH /bookings/{x}/check-in</t>
  </si>
  <si>
    <t>403 ⚠</t>
  </si>
  <si>
    <t>E10: POST /therapist/queue/{x}/start</t>
  </si>
  <si>
    <t>Impossible</t>
  </si>
  <si>
    <t>สิทธิ์การเข้าถึงตาม role: SecurityConfig + JwtAuthenticationFilter + Controller</t>
  </si>
  <si>
    <t>Integration testing - Decision Table (Extended Entry: role × endpoint)</t>
  </si>
  <si>
    <t>use-case.md §3 (Actor–Use Case Matrix) • TASKS 2.7, 2.8 • SecurityConfig</t>
  </si>
  <si>
    <t>Rule#</t>
  </si>
  <si>
    <t>Endpoint</t>
  </si>
  <si>
    <t>Role</t>
  </si>
  <si>
    <t>R1</t>
  </si>
  <si>
    <t>IT04-TC001</t>
  </si>
  <si>
    <t>E1 GET /api/services</t>
  </si>
  <si>
    <t>ผ่านชั้น security (ไม่ใช่ 401/403) • id ที่ไม่มีจริงได้ 404, รายการได้ 200</t>
  </si>
  <si>
    <t>R2</t>
  </si>
  <si>
    <t>IT04-TC002</t>
  </si>
  <si>
    <t>R3</t>
  </si>
  <si>
    <t>IT04-TC003</t>
  </si>
  <si>
    <t>R4</t>
  </si>
  <si>
    <t>IT04-TC004</t>
  </si>
  <si>
    <t>R5</t>
  </si>
  <si>
    <t>IT04-TC005</t>
  </si>
  <si>
    <t>IT04-TC006</t>
  </si>
  <si>
    <t>E2 GET /api/bookings/my</t>
  </si>
  <si>
    <t>401 JSON "Authentication required..."</t>
  </si>
  <si>
    <t>IT04-TC007</t>
  </si>
  <si>
    <t>IT04-TC008</t>
  </si>
  <si>
    <t>IT04-TC009</t>
  </si>
  <si>
    <t>IT04-TC010</t>
  </si>
  <si>
    <t>IT04-TC011</t>
  </si>
  <si>
    <t>E3 GET /api/admin/rooms</t>
  </si>
  <si>
    <t>IT04-TC012</t>
  </si>
  <si>
    <t>403 JSON "Access denied..."</t>
  </si>
  <si>
    <t>IT04-TC013</t>
  </si>
  <si>
    <t>IT04-TC014</t>
  </si>
  <si>
    <t>IT04-TC015</t>
  </si>
  <si>
    <t>IT04-TC016</t>
  </si>
  <si>
    <t>E4 GET /api/admin/users</t>
  </si>
  <si>
    <t>IT04-TC017</t>
  </si>
  <si>
    <t>IT04-TC018</t>
  </si>
  <si>
    <t>IT04-TC019</t>
  </si>
  <si>
    <t>IT04-TC020</t>
  </si>
  <si>
    <t>IT04-TC021</t>
  </si>
  <si>
    <t>E5 GET /api/admin/reports/revenue</t>
  </si>
  <si>
    <t>IT04-TC022</t>
  </si>
  <si>
    <t>IT04-TC023</t>
  </si>
  <si>
    <t>IT04-TC024</t>
  </si>
  <si>
    <t>IT04-TC025</t>
  </si>
  <si>
    <t>IT04-TC026</t>
  </si>
  <si>
    <t>E6 PATCH /api/bookings/999999/status?status=CONFIRMED</t>
  </si>
  <si>
    <t>IT04-TC027</t>
  </si>
  <si>
    <t>IT04-TC028</t>
  </si>
  <si>
    <t>IT04-TC029</t>
  </si>
  <si>
    <t>IT04-TC030</t>
  </si>
  <si>
    <t>IT04-TC031</t>
  </si>
  <si>
    <t>E7 POST /api/payments/999999/refund</t>
  </si>
  <si>
    <t>IT04-TC032</t>
  </si>
  <si>
    <t>IT04-TC033</t>
  </si>
  <si>
    <t>IT04-TC034</t>
  </si>
  <si>
    <t>IT04-TC035</t>
  </si>
  <si>
    <t>IT04-TC036</t>
  </si>
  <si>
    <t>E8 GET /api/admin/queue</t>
  </si>
  <si>
    <t>IT04-TC037</t>
  </si>
  <si>
    <t>IT04-TC038</t>
  </si>
  <si>
    <t>IT04-TC039</t>
  </si>
  <si>
    <t>IT04-TC040</t>
  </si>
  <si>
    <t>IT04-TC041</t>
  </si>
  <si>
    <t>E9 PATCH /api/bookings/999999/check-in</t>
  </si>
  <si>
    <t>IT04-TC042</t>
  </si>
  <si>
    <t>IT04-TC043</t>
  </si>
  <si>
    <t>IT04-TC044</t>
  </si>
  <si>
    <t>IT04-TC045</t>
  </si>
  <si>
    <t>IT04-TC046</t>
  </si>
  <si>
    <t>E10 POST /api/therapist/queue/999999/start</t>
  </si>
  <si>
    <t>IT04-TC047</t>
  </si>
  <si>
    <t>IT04-TC048</t>
  </si>
  <si>
    <t>IT04-TC049</t>
  </si>
  <si>
    <t>IT04-TC050</t>
  </si>
  <si>
    <t>endpoint มีจริง + token ถูกต้อง</t>
  </si>
  <si>
    <t>body ขาด field บังคับ</t>
  </si>
  <si>
    <t>JSON ผิดรูป</t>
  </si>
  <si>
    <t>enum ใน body ผิด</t>
  </si>
  <si>
    <t>query parameter บังคับขาด</t>
  </si>
  <si>
    <t>ไม่พบข้อมูล</t>
  </si>
  <si>
    <t>ค่าเกินช่วง (@Min/@Max)</t>
  </si>
  <si>
    <t>query parameter ผิดชนิด (enum / วันที่)</t>
  </si>
  <si>
    <t>endpoint ไม่มีจริง</t>
  </si>
  <si>
    <t>I9</t>
  </si>
  <si>
    <t>ทำซ้ำ (conflict)</t>
  </si>
  <si>
    <t>รูปแบบ error ของ API: Bean Validation + GlobalExceptionHandler</t>
  </si>
  <si>
    <t>AGENTS.md §5 (ApiResponse contract) • SRS 7 (error handling)</t>
  </si>
  <si>
    <t>ผู้เรียก</t>
  </si>
  <si>
    <t>IT05-TC001</t>
  </si>
  <si>
    <t>customer</t>
  </si>
  <si>
    <t>POST /api/bookings body {}</t>
  </si>
  <si>
    <t>(I1) 400 message "Validation failed" • errors มี serviceId, durationOptionId, startDateTime</t>
  </si>
  <si>
    <t>IT05-TC002</t>
  </si>
  <si>
    <t>POST /api/bookings body "{bad json"</t>
  </si>
  <si>
    <t>(I2) 400 message "Invalid request body..."</t>
  </si>
  <si>
    <t>IT05-TC003</t>
  </si>
  <si>
    <t>receptionist</t>
  </si>
  <si>
    <t>POST /api/bookings/{id}/payment paymentMethod "BITCOIN"</t>
  </si>
  <si>
    <t>(I3) 400</t>
  </si>
  <si>
    <t>IT05-TC004</t>
  </si>
  <si>
    <t>ไม่ login</t>
  </si>
  <si>
    <t>GET /api/bookings/availability (ไม่ส่ง serviceId)</t>
  </si>
  <si>
    <t>(I4) 400 "Required query parameter 'serviceId' is missing"</t>
  </si>
  <si>
    <t>IT05-TC005</t>
  </si>
  <si>
    <t>GET /api/bookings/999999</t>
  </si>
  <si>
    <t>(I5) 404 success:false</t>
  </si>
  <si>
    <t>IT05-TC006</t>
  </si>
  <si>
    <t>POST /api/bookings/{id}/review overallRating = 6</t>
  </si>
  <si>
    <t>(I6) 400 errors.overallRating = "Overall rating must be between 1 and 5"</t>
  </si>
  <si>
    <t>IT05-TC007</t>
  </si>
  <si>
    <t>PATCH /api/bookings/{id}/status?status=FOO</t>
  </si>
  <si>
    <t>IT05-TC008</t>
  </si>
  <si>
    <t>GET /api/admin/bookings?date=2026-13-45</t>
  </si>
  <si>
    <t>IT05-TC009</t>
  </si>
  <si>
    <t>GET /api/nope</t>
  </si>
  <si>
    <t>(I8) 404 success:false</t>
  </si>
  <si>
    <t>IT05-TC010</t>
  </si>
  <si>
    <t>POST /api/bookings/{id}/payment ครั้งที่ 2</t>
  </si>
  <si>
    <t>(I9) 409 message มี "already been completed"</t>
  </si>
  <si>
    <t>Rule#6</t>
  </si>
  <si>
    <t>C1: หมอนวดที่เลือกไม่ติดคิว (รวมวันหยุด)</t>
  </si>
  <si>
    <t>Y</t>
  </si>
  <si>
    <t>N</t>
  </si>
  <si>
    <t>C2: ห้องที่เลือกว่าง (รวม buffer 15 นาที)</t>
  </si>
  <si>
    <t>C3: ประเภทห้องตรงกับบริการ</t>
  </si>
  <si>
    <t>C4: ผู้จองเป็นพนักงาน</t>
  </si>
  <si>
    <t>C5: มีห้องว่างให้จัดอัตโนมัติ</t>
  </si>
  <si>
    <t>A1: 201 PENDING / ONLINE</t>
  </si>
  <si>
    <t>X</t>
  </si>
  <si>
    <t>A2: 201 CONFIRMED / WALK_IN</t>
  </si>
  <si>
    <t>A3: 409 Conflict</t>
  </si>
  <si>
    <t>A4: 400 Validation</t>
  </si>
  <si>
    <t>C5 ใช้เมื่อไม่ระบุห้อง • เคสสิทธิ์การดู booking (TC013–TC015) เป็นส่วนเสริมของ UC-09</t>
  </si>
  <si>
    <t>สร้างการจอง: BookingController → BookingServiceImpl → Repository ทั้ง 7 ตัว → PostgreSQL</t>
  </si>
  <si>
    <t>Integration testing - Decision Table (Limited Entry)</t>
  </si>
  <si>
    <t>UC-07, UC-08a–c, UC-09 • BR-RES-01 • sequence-diagram Scenario 1</t>
  </si>
  <si>
    <t>สภาพข้อมูลวัน D</t>
  </si>
  <si>
    <t>IT06-TC001</t>
  </si>
  <si>
    <t>ว่างทั้งหมด</t>
  </si>
  <si>
    <t>customer: THAI 60, therapist1, Room 1, D 11:00</t>
  </si>
  <si>
    <t>201 status PENDING, channel ONLINE, totalPrice 500.00, end 12:00 • มีแถวในตาราง bookings ของลูกค้าคนนี้</t>
  </si>
  <si>
    <t>IT06-TC002</t>
  </si>
  <si>
    <t>receptionist: customerId ของลูกค้า, D 11:00</t>
  </si>
  <si>
    <t>201 status CONFIRMED, channel WALK_IN</t>
  </si>
  <si>
    <t>IT06-TC003</t>
  </si>
  <si>
    <t>customer: ไม่ระบุหมอนวดและห้อง</t>
  </si>
  <si>
    <t>201 ได้หมอนวดที่มีทักษะ THAI และห้องประเภท SINGLE</t>
  </si>
  <si>
    <t>IT06-TC004</t>
  </si>
  <si>
    <t>therapist1 ติด 11:00–12:00</t>
  </si>
  <si>
    <t>customer คนที่ 2: therapist1, Room 2, D 11:30</t>
  </si>
  <si>
    <t>409 "...already booked for this time slot"</t>
  </si>
  <si>
    <t>IT06-TC005</t>
  </si>
  <si>
    <t>therapist1 ติด 11:00–12:00 (Room 1)</t>
  </si>
  <si>
    <t>therapist1, Room 2, D 12:00</t>
  </si>
  <si>
    <t>201 (เริ่มตรงกับเวลาจบได้)</t>
  </si>
  <si>
    <t>IT06-TC006</t>
  </si>
  <si>
    <t>Room 1 ติด 11:00–12:00</t>
  </si>
  <si>
    <t>therapist2, Room 1, D 12:10</t>
  </si>
  <si>
    <t>409 "...cleaning buffer..."</t>
  </si>
  <si>
    <t>IT06-TC007</t>
  </si>
  <si>
    <t>therapist2, Room 1, D 12:15</t>
  </si>
  <si>
    <t>201</t>
  </si>
  <si>
    <t>IT06-TC008</t>
  </si>
  <si>
    <t>booking 11:00–12:00 ถูก CANCELLED</t>
  </si>
  <si>
    <t>therapist1, Room 1, D 11:00</t>
  </si>
  <si>
    <t>201 (สถานะยกเลิกไม่ล็อกเวลา)</t>
  </si>
  <si>
    <t>IT06-TC009</t>
  </si>
  <si>
    <t>therapist1 มีตารางวัน D เป็นวันหยุด</t>
  </si>
  <si>
    <t>409 "...is off on this date"</t>
  </si>
  <si>
    <t>IT06-TC010</t>
  </si>
  <si>
    <t>THAI กับ Room 5 (VIP)</t>
  </si>
  <si>
    <t>400 "Selected room type VIP is not suitable..."</t>
  </si>
  <si>
    <t>IT06-TC011</t>
  </si>
  <si>
    <t>serviceId = THAI, durationOptionId ของ AROMA</t>
  </si>
  <si>
    <t>400 "Duration option does not belong..."</t>
  </si>
  <si>
    <t>R6</t>
  </si>
  <si>
    <t>IT06-TC012</t>
  </si>
  <si>
    <t>Room 1 และ Room 2 ติด 11:00–12:00</t>
  </si>
  <si>
    <t>ไม่ระบุห้อง, therapist4, D 11:00</t>
  </si>
  <si>
    <t>409 "No suitable rooms available..."</t>
  </si>
  <si>
    <t>IT06-TC013</t>
  </si>
  <si>
    <t>ลูกค้าจองแล้ว 1 รายการ</t>
  </si>
  <si>
    <t>GET /api/bookings/my</t>
  </si>
  <si>
    <t>200 มีรายการนี้ status PENDING</t>
  </si>
  <si>
    <t>IT06-TC014</t>
  </si>
  <si>
    <t>booking ของลูกค้า A</t>
  </si>
  <si>
    <t>ลูกค้า B: GET /api/bookings/{id}</t>
  </si>
  <si>
    <t>403 "...only view your own bookings"</t>
  </si>
  <si>
    <t>IT06-TC015</t>
  </si>
  <si>
    <t>booking ของ therapist1</t>
  </si>
  <si>
    <t>therapist1 แล้ว therapist2: GET /api/bookings/{id}</t>
  </si>
  <si>
    <t>therapist1 200 • therapist2 403</t>
  </si>
  <si>
    <t>ห้อง SINGLE ที่เหลือ</t>
  </si>
  <si>
    <t>หมอนวด THAI ที่เหลือ</t>
  </si>
  <si>
    <t>เวลาปิดร้าน (60 นาที)</t>
  </si>
  <si>
    <t>min</t>
  </si>
  <si>
    <t>0</t>
  </si>
  <si>
    <t>12:00 → 2 รอบ</t>
  </si>
  <si>
    <t>ตรวจช่วงเวลาว่าง: BookingController → AvailabilityServiceImpl → BusinessHours/Skill/Room/Booking repositories</t>
  </si>
  <si>
    <t>min+</t>
  </si>
  <si>
    <t>1</t>
  </si>
  <si>
    <t>3</t>
  </si>
  <si>
    <t>Integration testing - Boundary Value (จำนวนทรัพยากรที่เหลือ และเวลาปิดร้าน)</t>
  </si>
  <si>
    <t>nom</t>
  </si>
  <si>
    <t>2</t>
  </si>
  <si>
    <t>4</t>
  </si>
  <si>
    <t>22:00 → 12 รอบ</t>
  </si>
  <si>
    <t>UC-08 • SRS 3.3 (เวลาทำการ) • BR-RES-01</t>
  </si>
  <si>
    <t>การจองในวัน D</t>
  </si>
  <si>
    <t>IT07-TC001</t>
  </si>
  <si>
    <t>ไม่มี</t>
  </si>
  <si>
    <t>durationMinutes = 60</t>
  </si>
  <si>
    <t>12 รอบ (10:00–21:00) ว่างทุกรอบ • ทุกรอบมีห้อง 2 หมอนวด 4</t>
  </si>
  <si>
    <t>IT07-TC002</t>
  </si>
  <si>
    <t>therapist1 + Room 1 11:00–12:00</t>
  </si>
  <si>
    <t>60</t>
  </si>
  <si>
    <t>รอบ 11:00 available = true • ห้องเหลือ 1 (Room 2) • หมอนวดเหลือ 3</t>
  </si>
  <si>
    <t>IT07-TC003</t>
  </si>
  <si>
    <t>Room 1 และ Room 2 11:00–12:00</t>
  </si>
  <si>
    <t>รอบ 11:00 available = false (ห้องเหลือ 0)</t>
  </si>
  <si>
    <t>IT07-TC004</t>
  </si>
  <si>
    <t>รอบ 10:00 และ 12:00 available = false (buffer 15 นาที) • รอบ 13:00 available = true</t>
  </si>
  <si>
    <t>IT07-TC005</t>
  </si>
  <si>
    <t>Room 1 และ Room 2 11:00–12:00 แต่ CANCELLED</t>
  </si>
  <si>
    <t>รอบ 11:00 available = true</t>
  </si>
  <si>
    <t>IT07-TC006</t>
  </si>
  <si>
    <t>หมอนวด THAI ทั้ง 4 คน 15:00–16:00 (ห้องอื่น)</t>
  </si>
  <si>
    <t>รอบ 15:00 available = false (หมอนวดเหลือ 0, ห้องเหลือ 2)</t>
  </si>
  <si>
    <t>IT07-TC007</t>
  </si>
  <si>
    <t>ร้านปิดวันนั้น (business_hours.is_closed)</t>
  </si>
  <si>
    <t>200 availableSlots ว่าง (0 รอบ)</t>
  </si>
  <si>
    <t>IT07-TC008</t>
  </si>
  <si>
    <t>ร้านเปิด 10:00–12:00</t>
  </si>
  <si>
    <t>2 รอบ: 10:00, 11:00 (รอบสุดท้ายจบตรงเวลาปิด)</t>
  </si>
  <si>
    <t>IT07-TC009</t>
  </si>
  <si>
    <t>durationMinutes = 90</t>
  </si>
  <si>
    <t>11 รอบ (10:00–20:00)</t>
  </si>
  <si>
    <t>IT07-TC010</t>
  </si>
  <si>
    <t>serviceId ไม่มีจริง / บริการถูกปิด</t>
  </si>
  <si>
    <t>404 / 400</t>
  </si>
  <si>
    <t>C1: ผู้ยกเลิกเป็นพนักงาน</t>
  </si>
  <si>
    <t>C2: เป็นเจ้าของ booking</t>
  </si>
  <si>
    <t>C3: เหลือเวลามากกว่า 2 ชม.</t>
  </si>
  <si>
    <t>C4: สถานะยกเลิกได้ (PENDING/CONFIRMED/CHECKED_IN)</t>
  </si>
  <si>
    <t>A1: 200 CANCELLED + note</t>
  </si>
  <si>
    <t>A2: 400 กฎ 2 ชม.</t>
  </si>
  <si>
    <t>A3: 403</t>
  </si>
  <si>
    <t>A4: 400 จาก State</t>
  </si>
  <si>
    <t>ยกเลิกการจอง: BookingController → BookingServiceImpl → State Pattern → PostgreSQL</t>
  </si>
  <si>
    <t>UC-10 (A1 คืนเงิน) • BR-BKG-04 (ยกเลิกก่อน 2 ชม.)</t>
  </si>
  <si>
    <t>booking</t>
  </si>
  <si>
    <t>ผู้เรียก / body</t>
  </si>
  <si>
    <t>IT08-TC001</t>
  </si>
  <si>
    <t>ของตัวเอง วัน D 11:00 CONFIRMED</t>
  </si>
  <si>
    <t>customer {reason:"ติดธุระ"}</t>
  </si>
  <si>
    <t>200 CANCELLED • specialNotes ลงท้าย "[Cancelled by CUSTOMER: ติดธุระ]" • ในฐานข้อมูลเปลี่ยนจริง</t>
  </si>
  <si>
    <t>IT08-TC002</t>
  </si>
  <si>
    <t>ของตัวเอง เริ่มในอีก 1 ชม.</t>
  </si>
  <si>
    <t>400 "...at least 2 hours..." • สถานะเดิม</t>
  </si>
  <si>
    <t>IT08-TC003</t>
  </si>
  <si>
    <t>ของตัวเอง เริ่มในอีก 2 ชม. 10 นาที</t>
  </si>
  <si>
    <t>200 CANCELLED</t>
  </si>
  <si>
    <t>IT08-TC004</t>
  </si>
  <si>
    <t>ของลูกค้าอื่น</t>
  </si>
  <si>
    <t>403 "...only cancel your own bookings"</t>
  </si>
  <si>
    <t>IT08-TC005</t>
  </si>
  <si>
    <t>เริ่มในอีก 1 ชม.</t>
  </si>
  <si>
    <t>receptionist {reason:"ลูกค้าโทรแจ้ง"}</t>
  </si>
  <si>
    <t>200 note "[Cancelled by RECEPTIONIST: ลูกค้าโทรแจ้ง]"</t>
  </si>
  <si>
    <t>IT08-TC006</t>
  </si>
  <si>
    <t>COMPLETED</t>
  </si>
  <si>
    <t>400 "Cannot execute action 'cancel'..."</t>
  </si>
  <si>
    <t>IT08-TC007</t>
  </si>
  <si>
    <t>ของตัวเอง วัน D</t>
  </si>
  <si>
    <t>customer ไม่ส่ง body</t>
  </si>
  <si>
    <t>200 note "[Cancelled by CUSTOMER: Cancelled by user]"</t>
  </si>
  <si>
    <t>IT08-TC008</t>
  </si>
  <si>
    <t>ของตัวเอง วัน D ชำระเงินแล้ว 500</t>
  </si>
  <si>
    <t>ชำระครั้งแรก ไม่มีโค้ด</t>
  </si>
  <si>
    <t>ชำระซ้ำ</t>
  </si>
  <si>
    <t>โค้ด FIWDEE20 / WELCOME100</t>
  </si>
  <si>
    <t>คืนเกินยอดคงเหลือ</t>
  </si>
  <si>
    <t>โค้ดไม่ถูกต้อง → ไม่ลด</t>
  </si>
  <si>
    <t>id ใน URL ไม่ตรง body</t>
  </si>
  <si>
    <t>ขอใบเสร็จ</t>
  </si>
  <si>
    <t>ช่องทางชำระล้มเหลว</t>
  </si>
  <si>
    <t>คืนบางส่วน / คืนครบ</t>
  </si>
  <si>
    <t>booking ถูกยกเลิก</t>
  </si>
  <si>
    <t>รายงานรายได้รวมจากฐานข้อมูล</t>
  </si>
  <si>
    <t>ลูกค้าดู payment ของคนอื่น</t>
  </si>
  <si>
    <t>ชำระเงินและคืนเงิน: Payment/RefundController → Service → Strategy (ของจริง) → PostgreSQL</t>
  </si>
  <si>
    <t>Integration testing - Weak Robust Equivalence Class (+ Stub ที่ Payment Strategy)</t>
  </si>
  <si>
    <t>UC-19, UC-19a, UC-19b, UC-20 • UC-10 • UC-22</t>
  </si>
  <si>
    <t>IT09-TC001</t>
  </si>
  <si>
    <t>booking PENDING 500</t>
  </si>
  <si>
    <t>receptionist: CASH</t>
  </si>
  <si>
    <t>(V1) 200 net 500.00 • payments มี 1 แถว COMPLETED, paid_at ไม่ null • booking เป็น CONFIRMED</t>
  </si>
  <si>
    <t>IT09-TC002</t>
  </si>
  <si>
    <t>promoCode "FIWDEE20"</t>
  </si>
  <si>
    <t>(V2) discount 100.00, net 400.00</t>
  </si>
  <si>
    <t>IT09-TC003</t>
  </si>
  <si>
    <t>promoCode "welcome100" (ตัวเล็ก)</t>
  </si>
  <si>
    <t>IT09-TC004</t>
  </si>
  <si>
    <t>promoCode "XYZ"</t>
  </si>
  <si>
    <t>(V3) 200 discount 0, net 500.00</t>
  </si>
  <si>
    <t>IT09-TC005</t>
  </si>
  <si>
    <t>ชำระแล้ว</t>
  </si>
  <si>
    <t>ชำระอีกครั้ง</t>
  </si>
  <si>
    <t>(I1) 409 • ยังมี payment 1 แถว</t>
  </si>
  <si>
    <t>IT09-TC006</t>
  </si>
  <si>
    <t>GET /payments/{id}/receipt</t>
  </si>
  <si>
    <t>(V4) 200 receiptNumber ตรงกับฐานข้อมูล • shopName "FIWDEE Massage"</t>
  </si>
  <si>
    <t>IT09-TC007</t>
  </si>
  <si>
    <t>ชำระแล้ว 500</t>
  </si>
  <si>
    <t>refund 200</t>
  </si>
  <si>
    <t>(V5) 200 refunds มี 1 แถว COMPLETED • payment ยัง COMPLETED</t>
  </si>
  <si>
    <t>IT09-TC008</t>
  </si>
  <si>
    <t>คืนแล้ว 200 (request ก่อนหน้า)</t>
  </si>
  <si>
    <t>refund 301</t>
  </si>
  <si>
    <t>(I2) 400 "...exceeds maximum remaining refundable balance (300.00)" • ยอดคืนรวมยัง 200</t>
  </si>
  <si>
    <t>IT09-TC009</t>
  </si>
  <si>
    <t>refund 300</t>
  </si>
  <si>
    <t>(V5) 200 • payment เป็น REFUNDED</t>
  </si>
  <si>
    <t>IT09-TC010</t>
  </si>
  <si>
    <t>POST /payments/{id}/refund body paymentId = id อื่น</t>
  </si>
  <si>
    <t>(I3) 400 "Payment ID in URL...does not match..."</t>
  </si>
  <si>
    <t>IT09-TC011</t>
  </si>
  <si>
    <t>stub: CashPaymentStrategy คืน false</t>
  </si>
  <si>
    <t>CASH</t>
  </si>
  <si>
    <t>(I4) 400 "Payment execution failed..." • booking ยัง PENDING</t>
  </si>
  <si>
    <t>IT09-TC012</t>
  </si>
  <si>
    <t>IT09-TC013</t>
  </si>
  <si>
    <t>booking ถูกยกเลิกแล้ว</t>
  </si>
  <si>
    <t>IT09-TC014</t>
  </si>
  <si>
    <t>payment ของลูกค้า A</t>
  </si>
  <si>
    <t>ลูกค้า B: GET /bookings/{id}/payment</t>
  </si>
  <si>
    <t>IT09-TC015</t>
  </si>
  <si>
    <t>ชำระ 500 แล้วคืน 200 วันนี้</t>
  </si>
  <si>
    <t>owner: GET /admin/reports/revenue วันนี้–วันนี้</t>
  </si>
  <si>
    <t>(V6) netRevenue 500.00, refundedTotal 200.00, totalCompletedBookings 1</t>
  </si>
  <si>
    <t>check-in ครั้งแรก → คิวใหม่</t>
  </si>
  <si>
    <t>นัดไม่ใช่วันนี้</t>
  </si>
  <si>
    <t>check-in ซ้ำ → คิวเดิม</t>
  </si>
  <si>
    <t>booking ยังไม่ยืนยัน</t>
  </si>
  <si>
    <t>เรียกคิวถัดไป</t>
  </si>
  <si>
    <t>ไม่มีคิวรอ</t>
  </si>
  <si>
    <t>ดูคิววันนี้ / คิวของหมอนวด</t>
  </si>
  <si>
    <t>เปลี่ยนสถานะคิวข้ามขั้น</t>
  </si>
  <si>
    <t>check-in ผ่าน PATCH /status</t>
  </si>
  <si>
    <t>Check-in และคิว: FrontDesk/QueueController → QueueServiceImpl → Event → QueueListener (Observer) → PostgreSQL</t>
  </si>
  <si>
    <t>Integration testing - Weak Robust Equivalence Class (+ Spy ที่ QueueListener)</t>
  </si>
  <si>
    <t>UC-12, UC-13, UC-14 • design-patterns.md (Observer) • BR-QUE-01</t>
  </si>
  <si>
    <t>Request (receptionist)</t>
  </si>
  <si>
    <t>IT10-TC001</t>
  </si>
  <si>
    <t>booking A วันนี้ CONFIRMED</t>
  </si>
  <si>
    <t>PATCH /bookings/A/check-in</t>
  </si>
  <si>
    <t>(V1) 200 queueNumber Q001 WAITING • bookings.status = CHECKED_IN • QueueListener ถูกเรียก 1 ครั้งด้วย event → CHECKED_IN</t>
  </si>
  <si>
    <t>IT10-TC002</t>
  </si>
  <si>
    <t>A check-in แล้ว, B วันนี้ CONFIRMED</t>
  </si>
  <si>
    <t>check-in B</t>
  </si>
  <si>
    <t>(V1) Q002</t>
  </si>
  <si>
    <t>IT10-TC003</t>
  </si>
  <si>
    <t>A check-in แล้ว</t>
  </si>
  <si>
    <t>check-in A อีกครั้ง</t>
  </si>
  <si>
    <t>(V2) 200 queueId เดิม • queue_items ของ A มี 1 แถว</t>
  </si>
  <si>
    <t>IT10-TC004</t>
  </si>
  <si>
    <t>booking พรุ่งนี้ CONFIRMED</t>
  </si>
  <si>
    <t>check-in</t>
  </si>
  <si>
    <t>(I1) 400 "...only be checked in on its scheduled date"</t>
  </si>
  <si>
    <t>IT10-TC005</t>
  </si>
  <si>
    <t>booking วันนี้ PENDING</t>
  </si>
  <si>
    <t>(I2) 400 "Only confirmed bookings can be checked in"</t>
  </si>
  <si>
    <t>IT10-TC006</t>
  </si>
  <si>
    <t>Q001 และ Q002 WAITING</t>
  </si>
  <si>
    <t>POST /admin/queue/call-next</t>
  </si>
  <si>
    <t>(V3) 200 Q001 CALLED, calledTime ไม่ null • Q002 ยัง WAITING</t>
  </si>
  <si>
    <t>IT10-TC007</t>
  </si>
  <si>
    <t>ไม่มีคิว WAITING</t>
  </si>
  <si>
    <t>call-next</t>
  </si>
  <si>
    <t>(I3) 404</t>
  </si>
  <si>
    <t>IT10-TC008</t>
  </si>
  <si>
    <t>Q001 WAITING</t>
  </si>
  <si>
    <t>PATCH /admin/queue/{id}/status COMPLETED</t>
  </si>
  <si>
    <t>(I4) 400 • สถานะในฐานข้อมูลยัง WAITING</t>
  </si>
  <si>
    <t>IT10-TC009</t>
  </si>
  <si>
    <t>Q001, Q002</t>
  </si>
  <si>
    <t>GET /admin/queue?date=วันนี้</t>
  </si>
  <si>
    <t>(V4) 200 ได้ 2 รายการ Q001 ก่อน Q002</t>
  </si>
  <si>
    <t>IT10-TC010</t>
  </si>
  <si>
    <t>booking วันนี้ CONFIRMED</t>
  </si>
  <si>
    <t>PATCH /bookings/{id}/status?status=CHECKED_IN</t>
  </si>
  <si>
    <t>IT10-TC011</t>
  </si>
  <si>
    <t>A (therapist1) check-in แล้ว</t>
  </si>
  <si>
    <t>therapist1: GET /therapist/me/schedule?therapistId=therapist1</t>
  </si>
  <si>
    <t>(V4) 200 มี Q001</t>
  </si>
  <si>
    <t>P1</t>
  </si>
  <si>
    <t>Walk-in: check-in → เรียก → เริ่ม → จบ → ชำระ → รีวิว</t>
  </si>
  <si>
    <t>X1</t>
  </si>
  <si>
    <t>ตรวจสถานะกลางทาง: จบงานก่อนชำระ</t>
  </si>
  <si>
    <t>P2</t>
  </si>
  <si>
    <t>ลูกค้าออนไลน์: ดูรอบว่าง → จอง → ชำระล่วงหน้า</t>
  </si>
  <si>
    <t>X2</t>
  </si>
  <si>
    <t>ชำระก่อนหมอนวดกดจบงาน</t>
  </si>
  <si>
    <t>P3</t>
  </si>
  <si>
    <t>ยกเลิกแล้วรอบเวลาว่างกลับมา</t>
  </si>
  <si>
    <t>X3</t>
  </si>
  <si>
    <t>รีวิวโดยผู้ใช้ที่ไม่ใช่เจ้าของ</t>
  </si>
  <si>
    <t>X4</t>
  </si>
  <si>
    <t>จองช่วงเดียวกันพร้อมกันหลาย request</t>
  </si>
  <si>
    <t>X5</t>
  </si>
  <si>
    <t>รีวิวก่อนรับบริการ</t>
  </si>
  <si>
    <t>Flow ทั้งระบบตาม sequence diagram (หลาย controller ต่อเนื่องกันบนฐานข้อมูลเดียว)</t>
  </si>
  <si>
    <t>Integration testing - Scenario-based (Use-case flow) แบ่งกลุ่มแบบ Equivalence Class ของเส้นทาง</t>
  </si>
  <si>
    <t>sequence-diagram.md Scenario 1–3 • UC-07–UC-19 • SRS 7.1 (State diagram)</t>
  </si>
  <si>
    <t>เส้นทาง</t>
  </si>
  <si>
    <t>ขั้นตอน</t>
  </si>
  <si>
    <t>IT11-TC001</t>
  </si>
  <si>
    <t>P1 Walk-in (ลำดับตาม Scenario 3)</t>
  </si>
  <si>
    <t>check-in → call-next → therapist1 start → therapist1 complete → receptionist ชำระ CASH → ลูกค้ารีวิว 5/5/5</t>
  </si>
  <si>
    <t>จบที่ booking COMPLETED, คิว COMPLETED, Room 1 CLEANING, payment COMPLETED 500.00, review 1 แถว, therapist1 average_rating 5.00</t>
  </si>
  <si>
    <t>IT11-TC002</t>
  </si>
  <si>
    <t>X1 จุดตรวจกลางทาง</t>
  </si>
  <si>
    <t>เหมือน P1 แต่ตรวจหลัง therapist complete (ยังไม่ชำระ)</t>
  </si>
  <si>
    <t>IT11-TC003</t>
  </si>
  <si>
    <t>X2 ชำระก่อนจบงาน</t>
  </si>
  <si>
    <t>check-in → call-next → start → ชำระ CASH</t>
  </si>
  <si>
    <t>IT11-TC004</t>
  </si>
  <si>
    <t>P2 ลูกค้าออนไลน์</t>
  </si>
  <si>
    <t>สมัคร → availability วัน D → จองรอบ 13:00 ตามหมอนวด/ห้องที่ระบบเสนอ → ชำระ QR_PROMPTPAY → GET /bookings/my → availability อีกครั้ง</t>
  </si>
  <si>
    <t>201 PENDING → ชำระแล้ว CONFIRMED • my bookings แสดง CONFIRMED • รอบ 13:00 ห้องเหลือ 1</t>
  </si>
  <si>
    <t>IT11-TC005</t>
  </si>
  <si>
    <t>P3 ยกเลิกแล้วว่าง</t>
  </si>
  <si>
    <t>ลูกค้า 2 คนจอง Room 1 และ Room 2 วัน D 14:00 → availability → ลูกค้าคนแรกยกเลิก → availability</t>
  </si>
  <si>
    <t>ก่อนยกเลิก 14:00 available = false • หลังยกเลิก available = true</t>
  </si>
  <si>
    <t>IT11-TC006</t>
  </si>
  <si>
    <t>X3 รีวิวผิดคน</t>
  </si>
  <si>
    <t>booking COMPLETED ของลูกค้า A • ลูกค้า B POST /bookings/{id}/review</t>
  </si>
  <si>
    <t>IT11-TC007</t>
  </si>
  <si>
    <t>X4 จองพร้อมกัน</t>
  </si>
  <si>
    <t>8 request พร้อมกัน: therapist1, Room 1, วัน D (ทำ 3 รอบ: 14:00, 15:00, 16:00)</t>
  </si>
  <si>
    <t>IT11-TC008</t>
  </si>
  <si>
    <t>X5 รีวิวก่อนใช้บริการ</t>
  </si>
  <si>
    <t>booking CONFIRMED • เจ้าของรีวิว</t>
  </si>
  <si>
    <t>400 "...only be submitted for a completed booking"</t>
  </si>
  <si>
    <t>เพิ่ม/ปิดห้อง</t>
  </si>
  <si>
    <t>หมอนวดที่สร้างผ่านหลังบ้านไม่มีรหัสผ่าน</t>
  </si>
  <si>
    <t>เพิ่ม/ปิดบริการ</t>
  </si>
  <si>
    <t>receptionist แก้ข้อมูลที่เป็นสิทธิ์ owner</t>
  </si>
  <si>
    <t>ตั้งวันหยุดหมอนวด</t>
  </si>
  <si>
    <t>ปิดร้านบางวัน</t>
  </si>
  <si>
    <t>ผลของการตั้งค่าหลังบ้านต่อการจอง: AdminResourceController → Room/Service/Therapist/Shop service → Booking/Availability</t>
  </si>
  <si>
    <t>Integration testing - Weak Robust Equivalence Class (ข้ามโมดูล)</t>
  </si>
  <si>
    <t>UC-23–UC-27 • UC-07, UC-08</t>
  </si>
  <si>
    <t>การตั้งค่า (owner)</t>
  </si>
  <si>
    <t>ตรวจผลที่</t>
  </si>
  <si>
    <t>IT12-TC001</t>
  </si>
  <si>
    <t>POST /admin/rooms "IT-R1" SINGLE</t>
  </si>
  <si>
    <t>availability THAI วัน D</t>
  </si>
  <si>
    <t>(V1) 201 • รอบ 10:00 มีห้อง 3 ห้อง</t>
  </si>
  <si>
    <t>IT12-TC002</t>
  </si>
  <si>
    <t>DELETE /admin/rooms/{Room 2}</t>
  </si>
  <si>
    <t>(V1) 200 • รอบ 10:00 มีห้อง 1 ห้อง (Room 1)</t>
  </si>
  <si>
    <t>IT12-TC003</t>
  </si>
  <si>
    <t>POST /admin/services "IT-SPA" [60/1000]</t>
  </si>
  <si>
    <t>GET /api/services (ไม่ login)</t>
  </si>
  <si>
    <t>(V2) 201 • รายการมี IT-SPA และตัวเลือก 60 นาที 1000</t>
  </si>
  <si>
    <t>IT12-TC004</t>
  </si>
  <si>
    <t>DELETE /admin/services/{THAI}</t>
  </si>
  <si>
    <t>ลูกค้าจอง THAI • GET /api/services</t>
  </si>
  <si>
    <t>(V2) จอง 400 "Selected service is inactive" • รายการไม่มี THAI</t>
  </si>
  <si>
    <t>IT12-TC005</t>
  </si>
  <si>
    <t>PUT /admin/therapists/{therapist1}/schedules วัน D dayOff</t>
  </si>
  <si>
    <t>ลูกค้าจอง therapist1 วัน D 11:00</t>
  </si>
  <si>
    <t>(V3) 200 • จอง 409 "...is off on this date"</t>
  </si>
  <si>
    <t>IT12-TC006</t>
  </si>
  <si>
    <t>PUT /admin/shop ทั้ง 7 วัน โดยวันของ D ปิด</t>
  </si>
  <si>
    <t>(V4) 200 • 0 รอบ</t>
  </si>
  <si>
    <t>IT12-TC007</t>
  </si>
  <si>
    <t>POST /admin/therapists "it.newtherapist"</t>
  </si>
  <si>
    <t>users.password_hash</t>
  </si>
  <si>
    <t>IT12-TC008</t>
  </si>
  <si>
    <t>receptionist: POST /admin/rooms</t>
  </si>
  <si>
    <t>HTTP status</t>
  </si>
  <si>
    <t>DEF-013 ขึ้นไป = พบใหม่ในรอบ Integration (static review + ออกแบบเคส) • DEF เดิมที่รอบนี้ยืนยันซ้ำอยู่ท้ายตาราง • ยืนยันอีกครั้งหลังรันจริง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</si>
  <si>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</si>
  <si>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</si>
  <si>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</si>
  <si>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</si>
  <si>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</si>
  <si>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</si>
  <si>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</si>
  <si>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</si>
  <si>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</si>
  <si>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</si>
  <si>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DEF-013</t>
  </si>
  <si>
    <t>หมอนวดกด complete แล้ว booking เป็น COMPLETED ทันทีทั้งที่ยังไม่ชำระเงิน</t>
  </si>
  <si>
    <t>Open</t>
  </si>
  <si>
    <t>High</t>
  </si>
  <si>
    <t>service/impl/TherapistExecutionServiceImpl.completeService ตั้ง status เองโดยไม่ผ่าน InServiceState.complete (ที่บังคับว่าต้องชำระก่อน) • sequence-diagram Scenario 3 Phase B ระบุว่า booking ต้องคงเป็น IN_SERVICE จนกว่าจะชำระ • เกี่ยวกับ Open Question Q5 ของรอบ Unit • IT11-TC002</t>
  </si>
  <si>
    <t>DEF-014</t>
  </si>
  <si>
    <t>ชำระเงินระหว่าง IN_SERVICE แล้วคิวค้าง IN_SERVICE ห้องค้าง OCCUPIED และหมอนวดกดจบงานไม่ได้</t>
  </si>
  <si>
    <t>endpoint หลายตัวไม่จำกัด role ตาม Use-case Matrix</t>
  </si>
  <si>
    <t>SecurityConfig ไม่มีกฎสำหรับ PATCH /api/bookings/*/check-in (UC-12 = Receptionist), /api/therapist/** (UC-16/17 = Therapist) และให้ RECEPTIONIST เขียน /api/admin/rooms, services, therapists, shop ได้ (UC-23–27 = Owner) • ลูกค้าจึง check-in และเริ่มงานแทนหมอนวดได้ • TASKS 2.7, 2.8 ยังไม่เสร็จ • IT04 (E9, E10), IT12-TC008</t>
  </si>
  <si>
    <t>DEF-016</t>
  </si>
  <si>
    <t>ลูกค้าดูข้อมูลการชำระเงินของ booking คนอื่นได้</t>
  </si>
  <si>
    <t>Medium</t>
  </si>
  <si>
    <t>PaymentController.getPaymentByBooking / getReceipt ไม่รับผู้ใช้ปัจจุบันและ service ไม่ตรวจเจ้าของ • UC-20 ลูกค้าดูได้เฉพาะของตัวเอง (My) • IT09-TC014</t>
  </si>
  <si>
    <t>DEF-017</t>
  </si>
  <si>
    <t>จองช่วงเวลาเดียวกันพร้อมกันได้หลายรายการ (double booking)</t>
  </si>
  <si>
    <t>service/impl/BookingServiceImpl.createBooking ตรวจการชนด้วย SELECT แล้วค่อย INSERT โดยไม่มี lock หรือ constraint • request ที่มาพร้อมกันผ่านการตรวจทั้งหมด • UC-08c • ผลอาจต่างกันในแต่ละรอบที่รัน (race condition) • IT11-TC007</t>
  </si>
  <si>
    <t>DEF-018</t>
  </si>
  <si>
    <t>การชำระเงินที่ล้มเหลวไม่เหลือหลักฐานในฐานข้อมูล</t>
  </si>
  <si>
    <t>query parameter ผิดชนิด (enum / วันที่) ได้ 500 แทน 400</t>
  </si>
  <si>
    <t>Low</t>
  </si>
  <si>
    <t>GlobalExceptionHandler ไม่มี handler ของ MethodArgumentTypeMismatchException จึงตกไปที่ handler ของ Exception • frontend แสดง "internal server error" แทนข้อความที่บอกว่า input ผิด • IT05-TC007, TC008</t>
  </si>
  <si>
    <t>วิธีใช้: หลังรัน ./mvnw test -Dgroups=integration ให้กรอก Actual Result และเลือก Status ในแต่ละชีต</t>
  </si>
  <si>
    <t>673380049-4</t>
  </si>
  <si>
    <t>Piyachayanin</t>
  </si>
  <si>
    <t>Lenovo LOQ 15AHP11, CPU AMD Ryzen 7 250, Memory 16 GB DDR5, GPU NVIDIA GeForce RTX 5050 Laptop, OS Window 11</t>
  </si>
  <si>
    <t>ได้ข้อความ "CONFIRMED"</t>
  </si>
  <si>
    <t>DataIntegrityViolationException</t>
  </si>
  <si>
    <t>ด้ 1 คน</t>
  </si>
  <si>
    <t>ไม่ error</t>
  </si>
  <si>
    <t>ได้ 2 รายการที่อยู่ตรงขอบพอดี</t>
  </si>
  <si>
    <t>ได้ 2 รายการ: COMPLETED กับ REFUNDED</t>
  </si>
  <si>
    <t>content 2 รายการ, totalElements 3, totalPages 2</t>
  </si>
  <si>
    <t>1 รายการ สถานะ CANCELLED</t>
  </si>
  <si>
    <t>2 รายการ</t>
  </si>
  <si>
    <t>ได้เฉพาะ booking ของลูกค้าคนนี้</t>
  </si>
  <si>
    <t xml:space="preserve"> ไม่ error บน PostgreSQL • ได้ 3 รายการ เรียงจากใหม่ไปเก่า</t>
  </si>
  <si>
    <t>อ่านได้ครบ ไม่เกิด LazyInitializationException</t>
  </si>
  <si>
    <t>users.last_login_at ไม่เป็น null</t>
  </si>
  <si>
    <t>ผ่านชั้น security id ที่ไม่มีจริงได้ 404, รายการได้ 200</t>
  </si>
  <si>
    <t>ผ่านชั้น security d ที่ไม่มีจริงได้ 404, รายการได้ 200</t>
  </si>
  <si>
    <t>400 message "Validation failed"</t>
  </si>
  <si>
    <t>400 message "Invalid request body..."</t>
  </si>
  <si>
    <t>(I7) 400</t>
  </si>
  <si>
    <t>200 และ payment ถูกคืนเงิน (REFUNDED หรือมี refund 500.00)</t>
  </si>
  <si>
    <t>(I5) 400 ห้ามรับเงิน</t>
  </si>
  <si>
    <t>200 discount 0, net 500.00</t>
  </si>
  <si>
    <t>discount 100.00, net 400.00</t>
  </si>
  <si>
    <t>200 net 500.00</t>
  </si>
  <si>
    <t>netRevenue 500.00, refundedTotal 200.00, totalCompletedBookings 1</t>
  </si>
  <si>
    <t>(I6) 403</t>
  </si>
  <si>
    <t xml:space="preserve">(I4) มี payment สถานะ FAILED 1 แถวเป็นหลักฐาน </t>
  </si>
  <si>
    <t>(I5) 200 และมีคิวถูกสร้าง</t>
  </si>
  <si>
    <t>Q002</t>
  </si>
  <si>
    <t>ทุกรอบสำเร็จ 1 request (201) ที่เหลือ 409 • ฐานข้อมูลมี booking รอบละ 1 แถว</t>
  </si>
  <si>
    <t xml:space="preserve">booking COMPLETED และคิว COMPLETED, ห้อง CLEANING (Scenario 3 Phase D) </t>
  </si>
  <si>
    <t>booking ยัง IN_SERVICE รอชำระ</t>
  </si>
  <si>
    <t>null</t>
  </si>
  <si>
    <t>(I1) มีรหัสผ่านให้ login ได้</t>
  </si>
  <si>
    <t xml:space="preserve">(I2) 403 (UC-24 เป็นสิทธิ์ Owner) </t>
  </si>
  <si>
    <t>service/impl/PaymentServiceImpl ตั้ง booking เป็น COMPLETED โดยไม่ publish event (DEF-002) จึงไม่มีใครปิดคิว/เปลี่ยนห้อง • จากนั้น completeService ปฏิเสธเพราะ booking ไม่ใช่ IN_SERVICE • ผิด Scenario 3 Phase D • IT11-TC003</t>
  </si>
  <si>
    <t>service/impl/PaymentServiceImpl save payment FAILED แล้ว throw ValidationException ใน @Transactional เดียวกัน จึงถูก rollback • Unit test (verify save FAILED) ผ่านเพราะใช้ mock แต่ของจริงไม่บันทึก • UC-19b • IT09-TC012</t>
  </si>
  <si>
    <t>มี payment สถานะ FAILED 1 แถวเป็นหลักฐาน</t>
  </si>
  <si>
    <t>booking COMPLETED และคิว COMPLETED, ห้อง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</si>
</sst>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TH SarabunPSK"/>
    </font>
    <font>
      <sz val="16"/>
      <name val="TH SarabunPSK"/>
    </font>
    <font>
      <i/>
      <sz val="16"/>
      <name val="TH SarabunPSK"/>
    </font>
    <font>
      <b/>
      <sz val="16"/>
      <color rgb="FFFFFFFF"/>
      <name val="TH SarabunPSK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DBDBDB"/>
      </patternFill>
    </fill>
    <fill>
      <patternFill patternType="solid">
        <fgColor rgb="FFE7E6E6"/>
      </patternFill>
    </fill>
    <fill>
      <patternFill patternType="solid">
        <fgColor rgb="FFD9E1F2"/>
      </patternFill>
    </fill>
    <fill>
      <patternFill patternType="solid">
        <fgColor rgb="FF1F5C7A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1" xfId="0" applyBorder="1"/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" fillId="6" borderId="1" xfId="0" applyFont="1" applyFill="1" applyBorder="1" applyAlignment="1">
      <alignment horizontal="left" vertical="top" wrapText="1"/>
    </xf>
    <xf numFmtId="0" fontId="0" fillId="6" borderId="1" xfId="0" applyFill="1" applyBorder="1"/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0" fontId="2" fillId="0" borderId="2" xfId="0" applyFont="1" applyBorder="1" applyAlignment="1">
      <alignment horizontal="left" vertical="top" wrapText="1"/>
    </xf>
    <xf numFmtId="0" fontId="0" fillId="0" borderId="2" xfId="0" applyBorder="1"/>
    <xf numFmtId="0" fontId="1" fillId="5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1" fillId="6" borderId="2" xfId="0" applyFont="1" applyFill="1" applyBorder="1" applyAlignment="1">
      <alignment horizontal="center" vertical="center" wrapText="1"/>
    </xf>
    <xf numFmtId="0" fontId="0" fillId="6" borderId="2" xfId="0" applyFill="1" applyBorder="1"/>
  </cellXfs>
  <cellStyles count="1">
    <cellStyle name="Normal" xfId="0" builtinId="0"/>
  </cellStyles>
  <dxfs count="36"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FFC0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3"/>
  <sheetViews>
    <sheetView workbookViewId="0">
      <pane ySplit="2" topLeftCell="A14" activePane="bottomLeft" state="frozen"/>
      <selection pane="bottomLeft" activeCell="K17" sqref="K17"/>
    </sheetView>
  </sheetViews>
  <sheetFormatPr defaultRowHeight="15" x14ac:dyDescent="0.25"/>
  <cols>
    <col min="1" max="1" width="6" customWidth="1"/>
    <col min="2" max="2" width="62" customWidth="1"/>
    <col min="3" max="3" width="46" customWidth="1"/>
    <col min="4" max="4" width="15" customWidth="1"/>
    <col min="5" max="8" width="9" customWidth="1"/>
    <col min="9" max="9" width="30" customWidth="1"/>
  </cols>
  <sheetData>
    <row r="1" spans="1:9" ht="24" customHeight="1" x14ac:dyDescent="0.25">
      <c r="A1" s="28" t="s">
        <v>0</v>
      </c>
      <c r="B1" s="23"/>
      <c r="C1" s="23"/>
      <c r="D1" s="23"/>
      <c r="E1" s="23"/>
      <c r="F1" s="23"/>
    </row>
    <row r="2" spans="1:9" ht="4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1" customHeight="1" x14ac:dyDescent="0.25">
      <c r="A3" s="26" t="s">
        <v>10</v>
      </c>
      <c r="B3" s="27"/>
      <c r="C3" s="27"/>
      <c r="D3" s="27"/>
      <c r="E3" s="27"/>
      <c r="F3" s="27"/>
      <c r="G3" s="27"/>
      <c r="H3" s="27"/>
      <c r="I3" s="27"/>
    </row>
    <row r="4" spans="1:9" ht="65.099999999999994" customHeight="1" x14ac:dyDescent="0.25">
      <c r="A4" s="3">
        <v>1</v>
      </c>
      <c r="B4" s="4" t="s">
        <v>11</v>
      </c>
      <c r="C4" s="4" t="s">
        <v>12</v>
      </c>
      <c r="D4" s="3">
        <f>COUNTA(IT01_ConflictQuery_BVA!$A$11:$A$28)</f>
        <v>18</v>
      </c>
      <c r="E4" s="3">
        <f>COUNTIF(IT01_ConflictQuery_BVA!$G$11:$G$28,"Pass")</f>
        <v>18</v>
      </c>
      <c r="F4" s="3">
        <f>COUNTIF(IT01_ConflictQuery_BVA!$G$11:$G$28,"Fail")</f>
        <v>0</v>
      </c>
      <c r="G4" s="3">
        <f>COUNTIF(IT01_ConflictQuery_BVA!$G$11:$G$28,"No run")</f>
        <v>0</v>
      </c>
      <c r="H4" s="3">
        <f>COUNTIF(IT01_ConflictQuery_BVA!$G$11:$G$28,"Block")</f>
        <v>0</v>
      </c>
      <c r="I4" s="4"/>
    </row>
    <row r="5" spans="1:9" ht="23.1" customHeight="1" x14ac:dyDescent="0.25">
      <c r="A5" s="3">
        <v>2</v>
      </c>
      <c r="B5" s="4" t="s">
        <v>13</v>
      </c>
      <c r="C5" s="4" t="s">
        <v>14</v>
      </c>
      <c r="D5" s="3">
        <f>COUNTA(IT02_JpaMapping_EC!$A$21:$A$34)</f>
        <v>14</v>
      </c>
      <c r="E5" s="3">
        <f>COUNTIF(IT02_JpaMapping_EC!$F$21:$F$34,"Pass")</f>
        <v>14</v>
      </c>
      <c r="F5" s="3">
        <f>COUNTIF(IT02_JpaMapping_EC!$F$21:$F$34,"Fail")</f>
        <v>0</v>
      </c>
      <c r="G5" s="3">
        <f>COUNTIF(IT02_JpaMapping_EC!$F$21:$F$34,"No run")</f>
        <v>0</v>
      </c>
      <c r="H5" s="3">
        <f>COUNTIF(IT02_JpaMapping_EC!$F$21:$F$34,"Block")</f>
        <v>0</v>
      </c>
      <c r="I5" s="4"/>
    </row>
    <row r="6" spans="1:9" ht="23.25" customHeight="1" x14ac:dyDescent="0.25">
      <c r="A6" s="26" t="s">
        <v>15</v>
      </c>
      <c r="B6" s="27"/>
      <c r="C6" s="27"/>
      <c r="D6" s="27"/>
      <c r="E6" s="27"/>
      <c r="F6" s="27"/>
      <c r="G6" s="27"/>
      <c r="H6" s="27"/>
      <c r="I6" s="27"/>
    </row>
    <row r="7" spans="1:9" ht="65.099999999999994" customHeight="1" x14ac:dyDescent="0.25">
      <c r="A7" s="3">
        <v>3</v>
      </c>
      <c r="B7" s="4" t="s">
        <v>16</v>
      </c>
      <c r="C7" s="4" t="s">
        <v>14</v>
      </c>
      <c r="D7" s="3">
        <f>COUNTA(IT03_AuthJwt_EC!$A$23:$A$34)</f>
        <v>12</v>
      </c>
      <c r="E7" s="3">
        <f>COUNTIF(IT03_AuthJwt_EC!$F$23:$F$34,"Pass")</f>
        <v>12</v>
      </c>
      <c r="F7" s="3">
        <f>COUNTIF(IT03_AuthJwt_EC!$F$23:$F$34,"Fail")</f>
        <v>0</v>
      </c>
      <c r="G7" s="3">
        <f>COUNTIF(IT03_AuthJwt_EC!$F$23:$F$34,"No run")</f>
        <v>0</v>
      </c>
      <c r="H7" s="3">
        <f>COUNTIF(IT03_AuthJwt_EC!$F$23:$F$34,"Block")</f>
        <v>0</v>
      </c>
      <c r="I7" s="4"/>
    </row>
    <row r="8" spans="1:9" ht="65.099999999999994" customHeight="1" x14ac:dyDescent="0.25">
      <c r="A8" s="3">
        <v>4</v>
      </c>
      <c r="B8" s="4" t="s">
        <v>17</v>
      </c>
      <c r="C8" s="4" t="s">
        <v>18</v>
      </c>
      <c r="D8" s="3">
        <f>COUNTA(IT04_RoleAccess_DT!$B$27:$B$76)</f>
        <v>50</v>
      </c>
      <c r="E8" s="3">
        <f>COUNTIF(IT04_RoleAccess_DT!$G$27:$G$76,"Pass")</f>
        <v>50</v>
      </c>
      <c r="F8" s="3">
        <f>COUNTIF(IT04_RoleAccess_DT!$G$27:$G$76,"Fail")</f>
        <v>0</v>
      </c>
      <c r="G8" s="3">
        <f>COUNTIF(IT04_RoleAccess_DT!$G$27:$G$76,"No run")</f>
        <v>0</v>
      </c>
      <c r="H8" s="3">
        <f>COUNTIF(IT04_RoleAccess_DT!$G$27:$G$76,"Block")</f>
        <v>0</v>
      </c>
      <c r="I8" s="4"/>
    </row>
    <row r="9" spans="1:9" ht="65.099999999999994" customHeight="1" x14ac:dyDescent="0.25">
      <c r="A9" s="3">
        <v>5</v>
      </c>
      <c r="B9" s="4" t="s">
        <v>20</v>
      </c>
      <c r="C9" s="4" t="s">
        <v>14</v>
      </c>
      <c r="D9" s="3">
        <f>COUNTA(IT05_ErrorContract_EC!$A$24:$A$33)</f>
        <v>10</v>
      </c>
      <c r="E9" s="3">
        <f>COUNTIF(IT05_ErrorContract_EC!$F$24:$F$33,"Pass")</f>
        <v>10</v>
      </c>
      <c r="F9" s="3">
        <f>COUNTIF(IT05_ErrorContract_EC!$F$24:$F$33,"Fail")</f>
        <v>0</v>
      </c>
      <c r="G9" s="3">
        <f>COUNTIF(IT05_ErrorContract_EC!$F$24:$F$33,"No run")</f>
        <v>0</v>
      </c>
      <c r="H9" s="3">
        <f>COUNTIF(IT05_ErrorContract_EC!$F$24:$F$33,"Block")</f>
        <v>0</v>
      </c>
      <c r="I9" s="4"/>
    </row>
    <row r="10" spans="1:9" ht="21.75" customHeight="1" x14ac:dyDescent="0.25">
      <c r="A10" s="26" t="s">
        <v>22</v>
      </c>
      <c r="B10" s="27"/>
      <c r="C10" s="27"/>
      <c r="D10" s="27"/>
      <c r="E10" s="27"/>
      <c r="F10" s="27"/>
      <c r="G10" s="27"/>
      <c r="H10" s="27"/>
      <c r="I10" s="27"/>
    </row>
    <row r="11" spans="1:9" ht="65.099999999999994" customHeight="1" x14ac:dyDescent="0.25">
      <c r="A11" s="3">
        <v>6</v>
      </c>
      <c r="B11" s="4" t="s">
        <v>23</v>
      </c>
      <c r="C11" s="4" t="s">
        <v>24</v>
      </c>
      <c r="D11" s="3">
        <f>COUNTA(IT06_CreateBookingApi_DT!$B$25:$B$39)</f>
        <v>15</v>
      </c>
      <c r="E11" s="3">
        <f>COUNTIF(IT06_CreateBookingApi_DT!$G$25:$G$39,"Pass")</f>
        <v>15</v>
      </c>
      <c r="F11" s="3">
        <f>COUNTIF(IT06_CreateBookingApi_DT!$G$25:$G$39,"Fail")</f>
        <v>0</v>
      </c>
      <c r="G11" s="3">
        <f>COUNTIF(IT06_CreateBookingApi_DT!$G$25:$G$39,"No run")</f>
        <v>0</v>
      </c>
      <c r="H11" s="3">
        <f>COUNTIF(IT06_CreateBookingApi_DT!$G$25:$G$39,"Block")</f>
        <v>0</v>
      </c>
      <c r="I11" s="4"/>
    </row>
    <row r="12" spans="1:9" ht="65.099999999999994" customHeight="1" x14ac:dyDescent="0.25">
      <c r="A12" s="3">
        <v>7</v>
      </c>
      <c r="B12" s="4" t="s">
        <v>25</v>
      </c>
      <c r="C12" s="4" t="s">
        <v>26</v>
      </c>
      <c r="D12" s="3">
        <f>COUNTA(IT07_AvailabilityApi_BVA!$A$11:$A$20)</f>
        <v>10</v>
      </c>
      <c r="E12" s="3">
        <f>COUNTIF(IT07_AvailabilityApi_BVA!$F$11:$F$20,"Pass")</f>
        <v>10</v>
      </c>
      <c r="F12" s="3">
        <f>COUNTIF(IT07_AvailabilityApi_BVA!$F$11:$F$20,"Fail")</f>
        <v>0</v>
      </c>
      <c r="G12" s="3">
        <f>COUNTIF(IT07_AvailabilityApi_BVA!$F$11:$F$20,"No run")</f>
        <v>0</v>
      </c>
      <c r="H12" s="3">
        <f>COUNTIF(IT07_AvailabilityApi_BVA!$F$11:$F$20,"Block")</f>
        <v>0</v>
      </c>
      <c r="I12" s="4"/>
    </row>
    <row r="13" spans="1:9" ht="65.099999999999994" customHeight="1" x14ac:dyDescent="0.25">
      <c r="A13" s="3">
        <v>8</v>
      </c>
      <c r="B13" s="4" t="s">
        <v>27</v>
      </c>
      <c r="C13" s="4" t="s">
        <v>24</v>
      </c>
      <c r="D13" s="3">
        <f>COUNTA(IT08_CancelApi_DT!$B$23:$B$30)</f>
        <v>8</v>
      </c>
      <c r="E13" s="3">
        <f>COUNTIF(IT08_CancelApi_DT!$G$23:$G$30,"Pass")</f>
        <v>8</v>
      </c>
      <c r="F13" s="3">
        <f>COUNTIF(IT08_CancelApi_DT!$G$23:$G$30,"Fail")</f>
        <v>0</v>
      </c>
      <c r="G13" s="3">
        <f>COUNTIF(IT08_CancelApi_DT!$G$23:$G$30,"No run")</f>
        <v>0</v>
      </c>
      <c r="H13" s="3">
        <f>COUNTIF(IT08_CancelApi_DT!$G$23:$G$30,"Block")</f>
        <v>0</v>
      </c>
      <c r="I13" s="4"/>
    </row>
    <row r="14" spans="1:9" ht="65.099999999999994" customHeight="1" x14ac:dyDescent="0.25">
      <c r="A14" s="3">
        <v>9</v>
      </c>
      <c r="B14" s="4" t="s">
        <v>28</v>
      </c>
      <c r="C14" s="4" t="s">
        <v>29</v>
      </c>
      <c r="D14" s="3">
        <f>COUNTA(IT09_PaymentRefundApi_EC!$A$21:$A$35)</f>
        <v>15</v>
      </c>
      <c r="E14" s="3">
        <f>COUNTIF(IT09_PaymentRefundApi_EC!$F$21:$F$35,"Pass")</f>
        <v>15</v>
      </c>
      <c r="F14" s="3">
        <f>COUNTIF(IT09_PaymentRefundApi_EC!$F$21:$F$35,"Fail")</f>
        <v>0</v>
      </c>
      <c r="G14" s="3">
        <f>COUNTIF(IT09_PaymentRefundApi_EC!$F$21:$F$35,"No run")</f>
        <v>0</v>
      </c>
      <c r="H14" s="3">
        <f>COUNTIF(IT09_PaymentRefundApi_EC!$F$21:$F$35,"Block")</f>
        <v>0</v>
      </c>
      <c r="I14" s="4"/>
    </row>
    <row r="15" spans="1:9" ht="65.099999999999994" customHeight="1" x14ac:dyDescent="0.25">
      <c r="A15" s="3">
        <v>10</v>
      </c>
      <c r="B15" s="4" t="s">
        <v>30</v>
      </c>
      <c r="C15" s="4" t="s">
        <v>31</v>
      </c>
      <c r="D15" s="3">
        <f>COUNTA(IT10_CheckInQueue_EC!$A$20:$A$30)</f>
        <v>11</v>
      </c>
      <c r="E15" s="3">
        <f>COUNTIF(IT10_CheckInQueue_EC!$F$20:$F$30,"Pass")</f>
        <v>11</v>
      </c>
      <c r="F15" s="3">
        <f>COUNTIF(IT10_CheckInQueue_EC!$F$20:$F$30,"Fail")</f>
        <v>0</v>
      </c>
      <c r="G15" s="3">
        <f>COUNTIF(IT10_CheckInQueue_EC!$F$20:$F$30,"No run")</f>
        <v>0</v>
      </c>
      <c r="H15" s="3">
        <f>COUNTIF(IT10_CheckInQueue_EC!$F$20:$F$30,"Block")</f>
        <v>0</v>
      </c>
      <c r="I15" s="4"/>
    </row>
    <row r="16" spans="1:9" ht="20.25" customHeight="1" x14ac:dyDescent="0.25">
      <c r="A16" s="26" t="s">
        <v>32</v>
      </c>
      <c r="B16" s="27"/>
      <c r="C16" s="27"/>
      <c r="D16" s="27"/>
      <c r="E16" s="27"/>
      <c r="F16" s="27"/>
      <c r="G16" s="27"/>
      <c r="H16" s="27"/>
      <c r="I16" s="27"/>
    </row>
    <row r="17" spans="1:9" ht="65.099999999999994" customHeight="1" x14ac:dyDescent="0.25">
      <c r="A17" s="3">
        <v>11</v>
      </c>
      <c r="B17" s="4" t="s">
        <v>33</v>
      </c>
      <c r="C17" s="4" t="s">
        <v>34</v>
      </c>
      <c r="D17" s="3">
        <f>COUNTA(IT11_EndToEndFlow_SC!$A$20:$A$27)</f>
        <v>8</v>
      </c>
      <c r="E17" s="3">
        <f>COUNTIF(IT11_EndToEndFlow_SC!$F$20:$F$27,"Pass")</f>
        <v>8</v>
      </c>
      <c r="F17" s="3">
        <f>COUNTIF(IT11_EndToEndFlow_SC!$F$20:$F$27,"Fail")</f>
        <v>0</v>
      </c>
      <c r="G17" s="3">
        <f>COUNTIF(IT11_EndToEndFlow_SC!$F$20:$F$27,"No run")</f>
        <v>0</v>
      </c>
      <c r="H17" s="3">
        <f>COUNTIF(IT11_EndToEndFlow_SC!$F$20:$F$27,"Block")</f>
        <v>0</v>
      </c>
      <c r="I17" s="4"/>
    </row>
    <row r="18" spans="1:9" ht="86.1" customHeight="1" x14ac:dyDescent="0.25">
      <c r="A18" s="3">
        <v>12</v>
      </c>
      <c r="B18" s="4" t="s">
        <v>35</v>
      </c>
      <c r="C18" s="4" t="s">
        <v>36</v>
      </c>
      <c r="D18" s="3">
        <f>COUNTA(IT12_AdminConfigImpact_EC!$A$19:$A$26)</f>
        <v>8</v>
      </c>
      <c r="E18" s="3">
        <f>COUNTIF(IT12_AdminConfigImpact_EC!$F$19:$F$26,"Pass")</f>
        <v>8</v>
      </c>
      <c r="F18" s="3">
        <f>COUNTIF(IT12_AdminConfigImpact_EC!$F$19:$F$26,"Fail")</f>
        <v>0</v>
      </c>
      <c r="G18" s="3">
        <f>COUNTIF(IT12_AdminConfigImpact_EC!$F$19:$F$26,"No run")</f>
        <v>0</v>
      </c>
      <c r="H18" s="3">
        <f>COUNTIF(IT12_AdminConfigImpact_EC!$F$19:$F$26,"Block")</f>
        <v>0</v>
      </c>
      <c r="I18" s="4"/>
    </row>
    <row r="19" spans="1:9" ht="21" x14ac:dyDescent="0.25">
      <c r="A19" s="24" t="s">
        <v>37</v>
      </c>
      <c r="B19" s="25"/>
      <c r="C19" s="25"/>
      <c r="D19" s="5">
        <f>SUMPRODUCT(ISNUMBER(D3:D18)*D3:D18)</f>
        <v>179</v>
      </c>
      <c r="E19" s="6">
        <f>SUMPRODUCT(ISNUMBER(E3:E18)*E3:E18)</f>
        <v>179</v>
      </c>
      <c r="F19" s="7">
        <f>SUMPRODUCT(ISNUMBER(F3:F18)*F3:F18)</f>
        <v>0</v>
      </c>
      <c r="G19" s="5">
        <f>SUMPRODUCT(ISNUMBER(G3:G18)*G3:G18)</f>
        <v>0</v>
      </c>
      <c r="H19" s="5">
        <f>SUMPRODUCT(ISNUMBER(H3:H18)*H3:H18)</f>
        <v>0</v>
      </c>
      <c r="I19" s="4"/>
    </row>
    <row r="21" spans="1:9" ht="23.1" customHeight="1" x14ac:dyDescent="0.25">
      <c r="A21" s="22" t="s">
        <v>866</v>
      </c>
      <c r="B21" s="23"/>
      <c r="C21" s="23"/>
      <c r="D21" s="23"/>
      <c r="E21" s="23"/>
      <c r="F21" s="23"/>
      <c r="G21" s="23"/>
      <c r="H21" s="23"/>
      <c r="I21" s="23"/>
    </row>
    <row r="22" spans="1:9" ht="23.1" customHeight="1" x14ac:dyDescent="0.25">
      <c r="A22" s="22"/>
      <c r="B22" s="23"/>
      <c r="C22" s="23"/>
      <c r="D22" s="23"/>
      <c r="E22" s="23"/>
      <c r="F22" s="23"/>
      <c r="G22" s="23"/>
      <c r="H22" s="23"/>
      <c r="I22" s="23"/>
    </row>
    <row r="23" spans="1:9" ht="23.1" customHeight="1" x14ac:dyDescent="0.25">
      <c r="A23" s="22"/>
      <c r="B23" s="23"/>
      <c r="C23" s="23"/>
      <c r="D23" s="23"/>
      <c r="E23" s="23"/>
      <c r="F23" s="23"/>
      <c r="G23" s="23"/>
      <c r="H23" s="23"/>
      <c r="I23" s="23"/>
    </row>
  </sheetData>
  <mergeCells count="9">
    <mergeCell ref="A19:C19"/>
    <mergeCell ref="A10:I10"/>
    <mergeCell ref="A1:F1"/>
    <mergeCell ref="A23:I23"/>
    <mergeCell ref="A3:I3"/>
    <mergeCell ref="A6:I6"/>
    <mergeCell ref="A22:I22"/>
    <mergeCell ref="A21:I21"/>
    <mergeCell ref="A16:I16"/>
  </mergeCell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9"/>
  <sheetViews>
    <sheetView workbookViewId="0">
      <selection activeCell="B3" sqref="B3"/>
    </sheetView>
  </sheetViews>
  <sheetFormatPr defaultRowHeight="15" x14ac:dyDescent="0.25"/>
  <cols>
    <col min="1" max="1" width="6" customWidth="1"/>
    <col min="2" max="2" width="11" customWidth="1"/>
    <col min="3" max="3" width="38" customWidth="1"/>
    <col min="4" max="4" width="12" customWidth="1"/>
    <col min="5" max="6" width="14" customWidth="1"/>
    <col min="7" max="9" width="11" customWidth="1"/>
    <col min="10" max="10" width="13.140625" customWidth="1"/>
    <col min="11" max="11" width="74" customWidth="1"/>
  </cols>
  <sheetData>
    <row r="1" spans="1:11" x14ac:dyDescent="0.25">
      <c r="A1" s="22" t="s">
        <v>834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42" x14ac:dyDescent="0.25">
      <c r="A2" s="19" t="s">
        <v>1</v>
      </c>
      <c r="B2" s="19" t="s">
        <v>835</v>
      </c>
      <c r="C2" s="19" t="s">
        <v>836</v>
      </c>
      <c r="D2" s="19" t="s">
        <v>837</v>
      </c>
      <c r="E2" s="19" t="s">
        <v>838</v>
      </c>
      <c r="F2" s="19" t="s">
        <v>839</v>
      </c>
      <c r="G2" s="19" t="s">
        <v>840</v>
      </c>
      <c r="H2" s="19" t="s">
        <v>841</v>
      </c>
      <c r="I2" s="19" t="s">
        <v>842</v>
      </c>
      <c r="J2" s="19" t="s">
        <v>843</v>
      </c>
      <c r="K2" s="19" t="s">
        <v>844</v>
      </c>
    </row>
    <row r="3" spans="1:11" ht="107.1" customHeight="1" x14ac:dyDescent="0.25">
      <c r="A3" s="3">
        <v>1</v>
      </c>
      <c r="B3" s="3" t="s">
        <v>845</v>
      </c>
      <c r="C3" s="4" t="s">
        <v>846</v>
      </c>
      <c r="D3" s="21">
        <v>46305</v>
      </c>
      <c r="E3" s="20">
        <v>46305</v>
      </c>
      <c r="F3" s="11" t="s">
        <v>868</v>
      </c>
      <c r="G3" s="3" t="s">
        <v>847</v>
      </c>
      <c r="H3" s="3" t="s">
        <v>848</v>
      </c>
      <c r="I3" s="3" t="s">
        <v>848</v>
      </c>
      <c r="J3" s="4" t="s">
        <v>868</v>
      </c>
      <c r="K3" s="4" t="s">
        <v>849</v>
      </c>
    </row>
    <row r="4" spans="1:11" ht="107.1" customHeight="1" x14ac:dyDescent="0.25">
      <c r="A4" s="3">
        <v>2</v>
      </c>
      <c r="B4" s="3" t="s">
        <v>850</v>
      </c>
      <c r="C4" s="4" t="s">
        <v>851</v>
      </c>
      <c r="D4" s="21">
        <v>46305</v>
      </c>
      <c r="E4" s="20">
        <v>46306</v>
      </c>
      <c r="F4" s="11" t="s">
        <v>868</v>
      </c>
      <c r="G4" s="3" t="s">
        <v>847</v>
      </c>
      <c r="H4" s="3" t="s">
        <v>848</v>
      </c>
      <c r="I4" s="3" t="s">
        <v>848</v>
      </c>
      <c r="J4" s="4" t="s">
        <v>868</v>
      </c>
      <c r="K4" s="4" t="s">
        <v>904</v>
      </c>
    </row>
    <row r="5" spans="1:11" ht="128.1" customHeight="1" x14ac:dyDescent="0.25">
      <c r="A5" s="3">
        <v>3</v>
      </c>
      <c r="B5" s="3" t="s">
        <v>19</v>
      </c>
      <c r="C5" s="4" t="s">
        <v>852</v>
      </c>
      <c r="D5" s="21">
        <v>46305</v>
      </c>
      <c r="E5" s="20">
        <v>46307</v>
      </c>
      <c r="F5" s="11" t="s">
        <v>868</v>
      </c>
      <c r="G5" s="3" t="s">
        <v>847</v>
      </c>
      <c r="H5" s="3" t="s">
        <v>848</v>
      </c>
      <c r="I5" s="3" t="s">
        <v>848</v>
      </c>
      <c r="J5" s="4" t="s">
        <v>868</v>
      </c>
      <c r="K5" s="4" t="s">
        <v>853</v>
      </c>
    </row>
    <row r="6" spans="1:11" ht="86.1" customHeight="1" x14ac:dyDescent="0.25">
      <c r="A6" s="3">
        <v>4</v>
      </c>
      <c r="B6" s="3" t="s">
        <v>854</v>
      </c>
      <c r="C6" s="4" t="s">
        <v>855</v>
      </c>
      <c r="D6" s="21">
        <v>46305</v>
      </c>
      <c r="E6" s="20">
        <v>46308</v>
      </c>
      <c r="F6" s="11" t="s">
        <v>868</v>
      </c>
      <c r="G6" s="3" t="s">
        <v>847</v>
      </c>
      <c r="H6" s="3" t="s">
        <v>856</v>
      </c>
      <c r="I6" s="3" t="s">
        <v>848</v>
      </c>
      <c r="J6" s="4" t="s">
        <v>868</v>
      </c>
      <c r="K6" s="4" t="s">
        <v>857</v>
      </c>
    </row>
    <row r="7" spans="1:11" ht="107.1" customHeight="1" x14ac:dyDescent="0.25">
      <c r="A7" s="3">
        <v>5</v>
      </c>
      <c r="B7" s="3" t="s">
        <v>858</v>
      </c>
      <c r="C7" s="4" t="s">
        <v>859</v>
      </c>
      <c r="D7" s="21">
        <v>46305</v>
      </c>
      <c r="E7" s="20">
        <v>46309</v>
      </c>
      <c r="F7" s="11" t="s">
        <v>868</v>
      </c>
      <c r="G7" s="3" t="s">
        <v>847</v>
      </c>
      <c r="H7" s="3" t="s">
        <v>848</v>
      </c>
      <c r="I7" s="3" t="s">
        <v>856</v>
      </c>
      <c r="J7" s="4" t="s">
        <v>868</v>
      </c>
      <c r="K7" s="4" t="s">
        <v>860</v>
      </c>
    </row>
    <row r="8" spans="1:11" ht="107.1" customHeight="1" x14ac:dyDescent="0.25">
      <c r="A8" s="3">
        <v>6</v>
      </c>
      <c r="B8" s="3" t="s">
        <v>861</v>
      </c>
      <c r="C8" s="4" t="s">
        <v>862</v>
      </c>
      <c r="D8" s="21">
        <v>46305</v>
      </c>
      <c r="E8" s="20">
        <v>46310</v>
      </c>
      <c r="F8" s="11" t="s">
        <v>868</v>
      </c>
      <c r="G8" s="3" t="s">
        <v>847</v>
      </c>
      <c r="H8" s="3" t="s">
        <v>856</v>
      </c>
      <c r="I8" s="3" t="s">
        <v>856</v>
      </c>
      <c r="J8" s="4" t="s">
        <v>868</v>
      </c>
      <c r="K8" s="4" t="s">
        <v>905</v>
      </c>
    </row>
    <row r="9" spans="1:11" ht="86.1" customHeight="1" x14ac:dyDescent="0.25">
      <c r="A9" s="3">
        <v>7</v>
      </c>
      <c r="B9" s="3" t="s">
        <v>21</v>
      </c>
      <c r="C9" s="4" t="s">
        <v>863</v>
      </c>
      <c r="D9" s="21">
        <v>46305</v>
      </c>
      <c r="E9" s="20">
        <v>46311</v>
      </c>
      <c r="F9" s="11" t="s">
        <v>868</v>
      </c>
      <c r="G9" s="3" t="s">
        <v>847</v>
      </c>
      <c r="H9" s="3" t="s">
        <v>864</v>
      </c>
      <c r="I9" s="3" t="s">
        <v>856</v>
      </c>
      <c r="J9" s="4" t="s">
        <v>868</v>
      </c>
      <c r="K9" s="4" t="s">
        <v>865</v>
      </c>
    </row>
  </sheetData>
  <mergeCells count="1">
    <mergeCell ref="A1:K1"/>
  </mergeCells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5"/>
  <sheetViews>
    <sheetView topLeftCell="A6" workbookViewId="0">
      <selection activeCell="H6" sqref="H6"/>
    </sheetView>
  </sheetViews>
  <sheetFormatPr defaultRowHeight="15" x14ac:dyDescent="0.25"/>
  <cols>
    <col min="1" max="1" width="26" customWidth="1"/>
    <col min="2" max="2" width="46" customWidth="1"/>
    <col min="3" max="3" width="64" customWidth="1"/>
  </cols>
  <sheetData>
    <row r="1" spans="1:3" ht="22.5" customHeight="1" x14ac:dyDescent="0.25">
      <c r="A1" s="29" t="s">
        <v>51</v>
      </c>
      <c r="B1" s="30"/>
      <c r="C1" s="30"/>
    </row>
    <row r="2" spans="1:3" ht="23.1" customHeight="1" x14ac:dyDescent="0.25">
      <c r="A2" s="2" t="s">
        <v>52</v>
      </c>
      <c r="B2" s="2" t="s">
        <v>53</v>
      </c>
      <c r="C2" s="2" t="s">
        <v>54</v>
      </c>
    </row>
    <row r="3" spans="1:3" ht="65.099999999999994" customHeight="1" x14ac:dyDescent="0.25">
      <c r="A3" s="8" t="s">
        <v>38</v>
      </c>
      <c r="B3" s="4" t="s">
        <v>55</v>
      </c>
      <c r="C3" s="4" t="s">
        <v>56</v>
      </c>
    </row>
    <row r="4" spans="1:3" ht="65.099999999999994" customHeight="1" x14ac:dyDescent="0.25">
      <c r="A4" s="8" t="s">
        <v>57</v>
      </c>
      <c r="B4" s="4" t="s">
        <v>58</v>
      </c>
      <c r="C4" s="4" t="s">
        <v>59</v>
      </c>
    </row>
    <row r="5" spans="1:3" ht="65.099999999999994" customHeight="1" x14ac:dyDescent="0.25">
      <c r="A5" s="8" t="s">
        <v>60</v>
      </c>
      <c r="B5" s="4" t="s">
        <v>61</v>
      </c>
      <c r="C5" s="4" t="s">
        <v>62</v>
      </c>
    </row>
    <row r="6" spans="1:3" ht="65.099999999999994" customHeight="1" x14ac:dyDescent="0.25">
      <c r="A6" s="8" t="s">
        <v>63</v>
      </c>
      <c r="B6" s="4" t="s">
        <v>64</v>
      </c>
      <c r="C6" s="4" t="s">
        <v>65</v>
      </c>
    </row>
    <row r="7" spans="1:3" ht="23.1" customHeight="1" x14ac:dyDescent="0.25">
      <c r="A7" s="8" t="s">
        <v>66</v>
      </c>
      <c r="B7" s="4" t="s">
        <v>67</v>
      </c>
      <c r="C7" s="4" t="s">
        <v>68</v>
      </c>
    </row>
    <row r="8" spans="1:3" ht="23.1" customHeight="1" x14ac:dyDescent="0.25">
      <c r="A8" s="8" t="s">
        <v>69</v>
      </c>
      <c r="B8" s="4" t="s">
        <v>70</v>
      </c>
      <c r="C8" s="4" t="s">
        <v>68</v>
      </c>
    </row>
    <row r="9" spans="1:3" ht="65.099999999999994" customHeight="1" x14ac:dyDescent="0.25">
      <c r="A9" s="8" t="s">
        <v>71</v>
      </c>
      <c r="B9" s="4" t="s">
        <v>72</v>
      </c>
      <c r="C9" s="4" t="s">
        <v>73</v>
      </c>
    </row>
    <row r="10" spans="1:3" ht="23.1" customHeight="1" x14ac:dyDescent="0.25">
      <c r="A10" s="8" t="s">
        <v>74</v>
      </c>
      <c r="B10" s="4" t="s">
        <v>75</v>
      </c>
      <c r="C10" s="4" t="s">
        <v>76</v>
      </c>
    </row>
    <row r="11" spans="1:3" ht="65.099999999999994" customHeight="1" x14ac:dyDescent="0.25">
      <c r="A11" s="8" t="s">
        <v>77</v>
      </c>
      <c r="B11" s="4" t="s">
        <v>78</v>
      </c>
      <c r="C11" s="4" t="s">
        <v>79</v>
      </c>
    </row>
    <row r="12" spans="1:3" ht="86.1" customHeight="1" x14ac:dyDescent="0.25">
      <c r="A12" s="8" t="s">
        <v>80</v>
      </c>
      <c r="B12" s="4" t="s">
        <v>81</v>
      </c>
      <c r="C12" s="4"/>
    </row>
    <row r="13" spans="1:3" ht="23.1" customHeight="1" x14ac:dyDescent="0.25">
      <c r="A13" s="8" t="s">
        <v>82</v>
      </c>
      <c r="B13" s="4" t="s">
        <v>83</v>
      </c>
      <c r="C13" s="4"/>
    </row>
    <row r="14" spans="1:3" ht="65.099999999999994" customHeight="1" x14ac:dyDescent="0.25">
      <c r="A14" s="8" t="s">
        <v>84</v>
      </c>
      <c r="B14" s="4" t="s">
        <v>85</v>
      </c>
      <c r="C14" s="4" t="s">
        <v>86</v>
      </c>
    </row>
    <row r="15" spans="1:3" ht="86.1" customHeight="1" x14ac:dyDescent="0.25">
      <c r="A15" s="8" t="s">
        <v>87</v>
      </c>
      <c r="B15" s="4" t="s">
        <v>88</v>
      </c>
      <c r="C15" s="4" t="s">
        <v>89</v>
      </c>
    </row>
  </sheetData>
  <mergeCells count="1">
    <mergeCell ref="A1:C1"/>
  </mergeCells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8"/>
  <sheetViews>
    <sheetView showGridLines="0" topLeftCell="A16" workbookViewId="0">
      <selection activeCell="I13" sqref="I13"/>
    </sheetView>
  </sheetViews>
  <sheetFormatPr defaultRowHeight="15" x14ac:dyDescent="0.25"/>
  <cols>
    <col min="1" max="1" width="22" customWidth="1"/>
    <col min="2" max="4" width="20" customWidth="1"/>
    <col min="5" max="5" width="34" customWidth="1"/>
    <col min="6" max="6" width="18" customWidth="1"/>
    <col min="7" max="7" width="17" customWidth="1"/>
    <col min="10" max="10" width="10" customWidth="1"/>
    <col min="11" max="14" width="20" customWidth="1"/>
  </cols>
  <sheetData>
    <row r="1" spans="1:14" ht="65.099999999999994" customHeight="1" x14ac:dyDescent="0.25">
      <c r="A1" s="33" t="s">
        <v>90</v>
      </c>
      <c r="B1" s="30"/>
      <c r="C1" s="30"/>
      <c r="D1" s="30"/>
      <c r="E1" s="30"/>
      <c r="F1" s="30"/>
      <c r="G1" s="30"/>
      <c r="J1" s="4"/>
      <c r="K1" s="5" t="s">
        <v>91</v>
      </c>
      <c r="L1" s="5" t="s">
        <v>92</v>
      </c>
      <c r="M1" s="5" t="s">
        <v>93</v>
      </c>
      <c r="N1" s="5" t="s">
        <v>94</v>
      </c>
    </row>
    <row r="2" spans="1:14" ht="21" x14ac:dyDescent="0.25">
      <c r="J2" s="3" t="s">
        <v>95</v>
      </c>
      <c r="K2" s="3" t="s">
        <v>96</v>
      </c>
      <c r="L2" s="3" t="s">
        <v>97</v>
      </c>
      <c r="M2" s="3" t="s">
        <v>98</v>
      </c>
      <c r="N2" s="3" t="s">
        <v>99</v>
      </c>
    </row>
    <row r="3" spans="1:14" ht="23.1" customHeight="1" x14ac:dyDescent="0.25">
      <c r="A3" s="9" t="s">
        <v>100</v>
      </c>
      <c r="B3" s="34" t="s">
        <v>101</v>
      </c>
      <c r="C3" s="32"/>
      <c r="D3" s="32"/>
      <c r="E3" s="32"/>
      <c r="F3" s="9" t="s">
        <v>102</v>
      </c>
      <c r="G3" s="11" t="s">
        <v>867</v>
      </c>
      <c r="J3" s="3" t="s">
        <v>103</v>
      </c>
      <c r="K3" s="3" t="s">
        <v>104</v>
      </c>
      <c r="L3" s="3" t="s">
        <v>105</v>
      </c>
      <c r="M3" s="3" t="s">
        <v>106</v>
      </c>
      <c r="N3" s="3" t="s">
        <v>107</v>
      </c>
    </row>
    <row r="4" spans="1:14" ht="23.1" customHeight="1" x14ac:dyDescent="0.25">
      <c r="A4" s="9" t="s">
        <v>108</v>
      </c>
      <c r="B4" s="34" t="s">
        <v>109</v>
      </c>
      <c r="C4" s="32"/>
      <c r="D4" s="32"/>
      <c r="E4" s="32"/>
      <c r="F4" s="9" t="s">
        <v>110</v>
      </c>
      <c r="G4" s="11" t="s">
        <v>868</v>
      </c>
      <c r="J4" s="3" t="s">
        <v>111</v>
      </c>
      <c r="K4" s="3" t="s">
        <v>112</v>
      </c>
      <c r="L4" s="3" t="s">
        <v>113</v>
      </c>
      <c r="M4" s="3" t="s">
        <v>114</v>
      </c>
      <c r="N4" s="3" t="s">
        <v>115</v>
      </c>
    </row>
    <row r="5" spans="1:14" ht="48" customHeight="1" x14ac:dyDescent="0.25">
      <c r="A5" s="9" t="s">
        <v>116</v>
      </c>
      <c r="B5" s="34" t="s">
        <v>869</v>
      </c>
      <c r="C5" s="32"/>
      <c r="D5" s="32"/>
      <c r="E5" s="32"/>
      <c r="F5" s="9" t="s">
        <v>117</v>
      </c>
      <c r="G5" s="20">
        <v>46305</v>
      </c>
    </row>
    <row r="6" spans="1:14" ht="64.5" customHeight="1" x14ac:dyDescent="0.25">
      <c r="A6" s="9" t="s">
        <v>118</v>
      </c>
      <c r="B6" s="34" t="s">
        <v>39</v>
      </c>
      <c r="C6" s="32"/>
      <c r="D6" s="32"/>
      <c r="E6" s="32"/>
      <c r="F6" s="32"/>
      <c r="G6" s="32"/>
    </row>
    <row r="7" spans="1:14" ht="23.1" customHeight="1" x14ac:dyDescent="0.25">
      <c r="A7" s="9" t="s">
        <v>119</v>
      </c>
      <c r="B7" s="34" t="s">
        <v>120</v>
      </c>
      <c r="C7" s="32"/>
      <c r="D7" s="32"/>
      <c r="E7" s="32"/>
      <c r="F7" s="32"/>
      <c r="G7" s="32"/>
    </row>
    <row r="9" spans="1:14" ht="24" customHeight="1" x14ac:dyDescent="0.25">
      <c r="A9" s="31" t="s">
        <v>121</v>
      </c>
      <c r="B9" s="31" t="s">
        <v>122</v>
      </c>
      <c r="C9" s="32"/>
      <c r="D9" s="32"/>
      <c r="E9" s="31" t="s">
        <v>123</v>
      </c>
      <c r="F9" s="31" t="s">
        <v>124</v>
      </c>
      <c r="G9" s="31" t="s">
        <v>125</v>
      </c>
    </row>
    <row r="10" spans="1:14" ht="65.099999999999994" customHeight="1" x14ac:dyDescent="0.25">
      <c r="A10" s="32"/>
      <c r="B10" s="5" t="s">
        <v>126</v>
      </c>
      <c r="C10" s="5" t="s">
        <v>127</v>
      </c>
      <c r="D10" s="5" t="s">
        <v>128</v>
      </c>
      <c r="E10" s="32"/>
      <c r="F10" s="32"/>
      <c r="G10" s="32"/>
    </row>
    <row r="11" spans="1:14" ht="23.1" customHeight="1" x14ac:dyDescent="0.25">
      <c r="A11" s="12" t="s">
        <v>129</v>
      </c>
      <c r="B11" s="4" t="s">
        <v>130</v>
      </c>
      <c r="C11" s="4" t="s">
        <v>131</v>
      </c>
      <c r="D11" s="4" t="s">
        <v>132</v>
      </c>
      <c r="E11" s="4" t="s">
        <v>133</v>
      </c>
      <c r="F11" s="4" t="s">
        <v>148</v>
      </c>
      <c r="G11" s="3" t="s">
        <v>5</v>
      </c>
    </row>
    <row r="12" spans="1:14" ht="65.099999999999994" customHeight="1" x14ac:dyDescent="0.25">
      <c r="A12" s="12" t="s">
        <v>134</v>
      </c>
      <c r="B12" s="4" t="s">
        <v>130</v>
      </c>
      <c r="C12" s="4" t="s">
        <v>135</v>
      </c>
      <c r="D12" s="4" t="s">
        <v>132</v>
      </c>
      <c r="E12" s="4" t="s">
        <v>136</v>
      </c>
      <c r="F12" s="4" t="s">
        <v>148</v>
      </c>
      <c r="G12" s="3" t="s">
        <v>5</v>
      </c>
    </row>
    <row r="13" spans="1:14" ht="23.1" customHeight="1" x14ac:dyDescent="0.25">
      <c r="A13" s="12" t="s">
        <v>137</v>
      </c>
      <c r="B13" s="4" t="s">
        <v>130</v>
      </c>
      <c r="C13" s="4" t="s">
        <v>138</v>
      </c>
      <c r="D13" s="4" t="s">
        <v>132</v>
      </c>
      <c r="E13" s="4" t="s">
        <v>139</v>
      </c>
      <c r="F13" s="4" t="s">
        <v>142</v>
      </c>
      <c r="G13" s="3" t="s">
        <v>5</v>
      </c>
    </row>
    <row r="14" spans="1:14" ht="23.1" customHeight="1" x14ac:dyDescent="0.25">
      <c r="A14" s="12" t="s">
        <v>140</v>
      </c>
      <c r="B14" s="4" t="s">
        <v>130</v>
      </c>
      <c r="C14" s="4" t="s">
        <v>141</v>
      </c>
      <c r="D14" s="4" t="s">
        <v>132</v>
      </c>
      <c r="E14" s="4" t="s">
        <v>142</v>
      </c>
      <c r="F14" s="4" t="s">
        <v>142</v>
      </c>
      <c r="G14" s="3" t="s">
        <v>5</v>
      </c>
    </row>
    <row r="15" spans="1:14" ht="65.099999999999994" customHeight="1" x14ac:dyDescent="0.25">
      <c r="A15" s="12" t="s">
        <v>143</v>
      </c>
      <c r="B15" s="4" t="s">
        <v>130</v>
      </c>
      <c r="C15" s="4" t="s">
        <v>144</v>
      </c>
      <c r="D15" s="4" t="s">
        <v>132</v>
      </c>
      <c r="E15" s="4" t="s">
        <v>145</v>
      </c>
      <c r="F15" s="4" t="s">
        <v>148</v>
      </c>
      <c r="G15" s="3" t="s">
        <v>5</v>
      </c>
    </row>
    <row r="16" spans="1:14" ht="23.1" customHeight="1" x14ac:dyDescent="0.25">
      <c r="A16" s="12" t="s">
        <v>146</v>
      </c>
      <c r="B16" s="4" t="s">
        <v>130</v>
      </c>
      <c r="C16" s="4" t="s">
        <v>147</v>
      </c>
      <c r="D16" s="4" t="s">
        <v>132</v>
      </c>
      <c r="E16" s="4" t="s">
        <v>148</v>
      </c>
      <c r="F16" s="4" t="s">
        <v>148</v>
      </c>
      <c r="G16" s="3" t="s">
        <v>5</v>
      </c>
    </row>
    <row r="17" spans="1:7" ht="65.099999999999994" customHeight="1" x14ac:dyDescent="0.25">
      <c r="A17" s="12" t="s">
        <v>149</v>
      </c>
      <c r="B17" s="4" t="s">
        <v>130</v>
      </c>
      <c r="C17" s="4" t="s">
        <v>150</v>
      </c>
      <c r="D17" s="4" t="s">
        <v>132</v>
      </c>
      <c r="E17" s="4" t="s">
        <v>151</v>
      </c>
      <c r="F17" s="4" t="s">
        <v>142</v>
      </c>
      <c r="G17" s="3" t="s">
        <v>5</v>
      </c>
    </row>
    <row r="18" spans="1:7" ht="65.099999999999994" customHeight="1" x14ac:dyDescent="0.25">
      <c r="A18" s="12" t="s">
        <v>152</v>
      </c>
      <c r="B18" s="4" t="s">
        <v>130</v>
      </c>
      <c r="C18" s="4" t="s">
        <v>153</v>
      </c>
      <c r="D18" s="4" t="s">
        <v>132</v>
      </c>
      <c r="E18" s="4" t="s">
        <v>142</v>
      </c>
      <c r="F18" s="4" t="s">
        <v>142</v>
      </c>
      <c r="G18" s="3" t="s">
        <v>5</v>
      </c>
    </row>
    <row r="19" spans="1:7" ht="23.1" customHeight="1" x14ac:dyDescent="0.25">
      <c r="A19" s="12" t="s">
        <v>154</v>
      </c>
      <c r="B19" s="4" t="s">
        <v>155</v>
      </c>
      <c r="C19" s="4" t="s">
        <v>156</v>
      </c>
      <c r="D19" s="4" t="s">
        <v>132</v>
      </c>
      <c r="E19" s="4" t="s">
        <v>157</v>
      </c>
      <c r="F19" s="4" t="s">
        <v>142</v>
      </c>
      <c r="G19" s="3" t="s">
        <v>5</v>
      </c>
    </row>
    <row r="20" spans="1:7" ht="23.1" customHeight="1" x14ac:dyDescent="0.25">
      <c r="A20" s="12" t="s">
        <v>158</v>
      </c>
      <c r="B20" s="4" t="s">
        <v>155</v>
      </c>
      <c r="C20" s="4" t="s">
        <v>159</v>
      </c>
      <c r="D20" s="4" t="s">
        <v>132</v>
      </c>
      <c r="E20" s="4" t="s">
        <v>160</v>
      </c>
      <c r="F20" s="4" t="s">
        <v>52</v>
      </c>
      <c r="G20" s="3" t="s">
        <v>5</v>
      </c>
    </row>
    <row r="21" spans="1:7" ht="23.1" customHeight="1" x14ac:dyDescent="0.25">
      <c r="A21" s="12" t="s">
        <v>161</v>
      </c>
      <c r="B21" s="4" t="s">
        <v>155</v>
      </c>
      <c r="C21" s="4" t="s">
        <v>162</v>
      </c>
      <c r="D21" s="4" t="s">
        <v>132</v>
      </c>
      <c r="E21" s="4" t="s">
        <v>148</v>
      </c>
      <c r="F21" s="4" t="s">
        <v>148</v>
      </c>
      <c r="G21" s="3" t="s">
        <v>5</v>
      </c>
    </row>
    <row r="22" spans="1:7" ht="23.1" customHeight="1" x14ac:dyDescent="0.25">
      <c r="A22" s="12" t="s">
        <v>163</v>
      </c>
      <c r="B22" s="4" t="s">
        <v>155</v>
      </c>
      <c r="C22" s="4" t="s">
        <v>164</v>
      </c>
      <c r="D22" s="4" t="s">
        <v>132</v>
      </c>
      <c r="E22" s="4" t="s">
        <v>148</v>
      </c>
      <c r="F22" s="4" t="s">
        <v>148</v>
      </c>
      <c r="G22" s="3" t="s">
        <v>5</v>
      </c>
    </row>
    <row r="23" spans="1:7" ht="65.099999999999994" customHeight="1" x14ac:dyDescent="0.25">
      <c r="A23" s="12" t="s">
        <v>165</v>
      </c>
      <c r="B23" s="4" t="s">
        <v>155</v>
      </c>
      <c r="C23" s="4" t="s">
        <v>166</v>
      </c>
      <c r="D23" s="4" t="s">
        <v>132</v>
      </c>
      <c r="E23" s="4" t="s">
        <v>167</v>
      </c>
      <c r="F23" s="4" t="s">
        <v>148</v>
      </c>
      <c r="G23" s="3" t="s">
        <v>5</v>
      </c>
    </row>
    <row r="24" spans="1:7" ht="23.1" customHeight="1" x14ac:dyDescent="0.25">
      <c r="A24" s="12" t="s">
        <v>168</v>
      </c>
      <c r="B24" s="4" t="s">
        <v>155</v>
      </c>
      <c r="C24" s="4" t="s">
        <v>169</v>
      </c>
      <c r="D24" s="4" t="s">
        <v>132</v>
      </c>
      <c r="E24" s="4" t="s">
        <v>142</v>
      </c>
      <c r="F24" s="4" t="s">
        <v>142</v>
      </c>
      <c r="G24" s="3" t="s">
        <v>5</v>
      </c>
    </row>
    <row r="25" spans="1:7" ht="23.1" customHeight="1" x14ac:dyDescent="0.25">
      <c r="A25" s="12" t="s">
        <v>170</v>
      </c>
      <c r="B25" s="4" t="s">
        <v>130</v>
      </c>
      <c r="C25" s="4" t="s">
        <v>171</v>
      </c>
      <c r="D25" s="4" t="s">
        <v>172</v>
      </c>
      <c r="E25" s="4" t="s">
        <v>173</v>
      </c>
      <c r="F25" s="4" t="s">
        <v>148</v>
      </c>
      <c r="G25" s="3" t="s">
        <v>5</v>
      </c>
    </row>
    <row r="26" spans="1:7" ht="23.1" customHeight="1" x14ac:dyDescent="0.25">
      <c r="A26" s="12" t="s">
        <v>174</v>
      </c>
      <c r="B26" s="4" t="s">
        <v>130</v>
      </c>
      <c r="C26" s="4" t="s">
        <v>171</v>
      </c>
      <c r="D26" s="4" t="s">
        <v>175</v>
      </c>
      <c r="E26" s="4" t="s">
        <v>148</v>
      </c>
      <c r="F26" s="4" t="s">
        <v>148</v>
      </c>
      <c r="G26" s="3" t="s">
        <v>5</v>
      </c>
    </row>
    <row r="27" spans="1:7" ht="23.1" customHeight="1" x14ac:dyDescent="0.25">
      <c r="A27" s="12" t="s">
        <v>176</v>
      </c>
      <c r="B27" s="4" t="s">
        <v>130</v>
      </c>
      <c r="C27" s="4" t="s">
        <v>171</v>
      </c>
      <c r="D27" s="4" t="s">
        <v>177</v>
      </c>
      <c r="E27" s="4" t="s">
        <v>178</v>
      </c>
      <c r="F27" s="4" t="s">
        <v>142</v>
      </c>
      <c r="G27" s="3" t="s">
        <v>5</v>
      </c>
    </row>
    <row r="28" spans="1:7" ht="65.099999999999994" customHeight="1" x14ac:dyDescent="0.25">
      <c r="A28" s="12" t="s">
        <v>179</v>
      </c>
      <c r="B28" s="4" t="s">
        <v>180</v>
      </c>
      <c r="C28" s="4" t="s">
        <v>171</v>
      </c>
      <c r="D28" s="4" t="s">
        <v>181</v>
      </c>
      <c r="E28" s="4" t="s">
        <v>182</v>
      </c>
      <c r="F28" s="4" t="s">
        <v>148</v>
      </c>
      <c r="G28" s="3" t="s">
        <v>5</v>
      </c>
    </row>
  </sheetData>
  <mergeCells count="11">
    <mergeCell ref="B9:D9"/>
    <mergeCell ref="A1:G1"/>
    <mergeCell ref="B4:E4"/>
    <mergeCell ref="F9:F10"/>
    <mergeCell ref="B7:G7"/>
    <mergeCell ref="G9:G10"/>
    <mergeCell ref="B3:E3"/>
    <mergeCell ref="B5:E5"/>
    <mergeCell ref="A9:A10"/>
    <mergeCell ref="E9:E10"/>
    <mergeCell ref="B6:G6"/>
  </mergeCells>
  <conditionalFormatting sqref="G11:G28">
    <cfRule type="cellIs" dxfId="35" priority="1" operator="equal">
      <formula>"Pass"</formula>
    </cfRule>
    <cfRule type="cellIs" dxfId="34" priority="2" operator="equal">
      <formula>"Fail"</formula>
    </cfRule>
    <cfRule type="cellIs" dxfId="33" priority="3" operator="equal">
      <formula>"Block"</formula>
    </cfRule>
  </conditionalFormatting>
  <dataValidations count="1">
    <dataValidation type="list" allowBlank="1" sqref="G11:G28" xr:uid="{00000000-0002-0000-03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4"/>
  <sheetViews>
    <sheetView showGridLines="0" topLeftCell="A4" workbookViewId="0">
      <selection activeCell="E21" sqref="E21"/>
    </sheetView>
  </sheetViews>
  <sheetFormatPr defaultRowHeight="15" x14ac:dyDescent="0.25"/>
  <cols>
    <col min="1" max="1" width="22" customWidth="1"/>
    <col min="2" max="3" width="26" customWidth="1"/>
    <col min="4" max="4" width="40" customWidth="1"/>
    <col min="5" max="5" width="34.42578125" customWidth="1"/>
    <col min="6" max="6" width="17" customWidth="1"/>
    <col min="7" max="8" width="14" customWidth="1"/>
    <col min="9" max="9" width="18.42578125" customWidth="1"/>
  </cols>
  <sheetData>
    <row r="1" spans="1:9" x14ac:dyDescent="0.25">
      <c r="A1" s="35" t="s">
        <v>183</v>
      </c>
      <c r="B1" s="36"/>
      <c r="C1" s="36"/>
      <c r="D1" s="36"/>
      <c r="E1" s="36"/>
      <c r="F1" s="36"/>
      <c r="G1" s="36"/>
      <c r="H1" s="36"/>
      <c r="I1" s="36"/>
    </row>
    <row r="2" spans="1:9" ht="21" x14ac:dyDescent="0.25">
      <c r="A2" s="13" t="s">
        <v>184</v>
      </c>
      <c r="E2" s="39" t="s">
        <v>185</v>
      </c>
      <c r="F2" s="40"/>
    </row>
    <row r="3" spans="1:9" ht="21" x14ac:dyDescent="0.25">
      <c r="A3" s="14" t="s">
        <v>186</v>
      </c>
      <c r="B3" s="41" t="s">
        <v>187</v>
      </c>
      <c r="C3" s="42"/>
      <c r="E3" s="14" t="s">
        <v>186</v>
      </c>
      <c r="F3" s="41" t="s">
        <v>187</v>
      </c>
      <c r="G3" s="42"/>
      <c r="H3" s="42"/>
      <c r="I3" s="42"/>
    </row>
    <row r="4" spans="1:9" ht="65.099999999999994" customHeight="1" x14ac:dyDescent="0.25">
      <c r="A4" s="15" t="s">
        <v>188</v>
      </c>
      <c r="B4" s="37" t="s">
        <v>189</v>
      </c>
      <c r="C4" s="38"/>
      <c r="E4" s="15" t="s">
        <v>190</v>
      </c>
      <c r="F4" s="37" t="s">
        <v>191</v>
      </c>
      <c r="G4" s="38"/>
      <c r="H4" s="38"/>
      <c r="I4" s="38"/>
    </row>
    <row r="5" spans="1:9" ht="23.1" customHeight="1" x14ac:dyDescent="0.25">
      <c r="A5" s="15" t="s">
        <v>192</v>
      </c>
      <c r="B5" s="37" t="s">
        <v>193</v>
      </c>
      <c r="C5" s="38"/>
      <c r="E5" s="15" t="s">
        <v>194</v>
      </c>
      <c r="F5" s="37" t="s">
        <v>195</v>
      </c>
      <c r="G5" s="38"/>
      <c r="H5" s="38"/>
      <c r="I5" s="38"/>
    </row>
    <row r="6" spans="1:9" ht="23.1" customHeight="1" x14ac:dyDescent="0.25">
      <c r="A6" s="15" t="s">
        <v>196</v>
      </c>
      <c r="B6" s="37" t="s">
        <v>197</v>
      </c>
      <c r="C6" s="38"/>
      <c r="E6" s="15" t="s">
        <v>198</v>
      </c>
      <c r="F6" s="37" t="s">
        <v>199</v>
      </c>
      <c r="G6" s="38"/>
      <c r="H6" s="38"/>
      <c r="I6" s="38"/>
    </row>
    <row r="7" spans="1:9" ht="23.1" customHeight="1" x14ac:dyDescent="0.25">
      <c r="A7" s="15" t="s">
        <v>200</v>
      </c>
      <c r="B7" s="37" t="s">
        <v>201</v>
      </c>
      <c r="C7" s="38"/>
    </row>
    <row r="8" spans="1:9" ht="23.1" customHeight="1" x14ac:dyDescent="0.25">
      <c r="A8" s="15" t="s">
        <v>202</v>
      </c>
      <c r="B8" s="37" t="s">
        <v>203</v>
      </c>
      <c r="C8" s="38"/>
    </row>
    <row r="9" spans="1:9" ht="23.1" customHeight="1" x14ac:dyDescent="0.25">
      <c r="A9" s="15" t="s">
        <v>204</v>
      </c>
      <c r="B9" s="37" t="s">
        <v>205</v>
      </c>
      <c r="C9" s="38"/>
    </row>
    <row r="11" spans="1:9" x14ac:dyDescent="0.25">
      <c r="A11" s="33" t="s">
        <v>90</v>
      </c>
      <c r="B11" s="30"/>
      <c r="C11" s="30"/>
      <c r="D11" s="30"/>
      <c r="E11" s="30"/>
      <c r="F11" s="30"/>
      <c r="G11" s="30"/>
      <c r="H11" s="30"/>
      <c r="I11" s="30"/>
    </row>
    <row r="13" spans="1:9" ht="23.1" customHeight="1" x14ac:dyDescent="0.25">
      <c r="A13" s="9" t="s">
        <v>100</v>
      </c>
      <c r="B13" s="34" t="s">
        <v>206</v>
      </c>
      <c r="C13" s="32"/>
      <c r="D13" s="32"/>
      <c r="E13" s="10"/>
      <c r="F13" s="10"/>
      <c r="G13" s="10"/>
      <c r="H13" s="9" t="s">
        <v>102</v>
      </c>
      <c r="I13" s="11" t="s">
        <v>867</v>
      </c>
    </row>
    <row r="14" spans="1:9" ht="23.1" customHeight="1" x14ac:dyDescent="0.25">
      <c r="A14" s="9" t="s">
        <v>108</v>
      </c>
      <c r="B14" s="34" t="s">
        <v>207</v>
      </c>
      <c r="C14" s="32"/>
      <c r="D14" s="32"/>
      <c r="E14" s="10"/>
      <c r="F14" s="10"/>
      <c r="G14" s="10"/>
      <c r="H14" s="9" t="s">
        <v>110</v>
      </c>
      <c r="I14" s="11" t="s">
        <v>868</v>
      </c>
    </row>
    <row r="15" spans="1:9" ht="51" customHeight="1" x14ac:dyDescent="0.25">
      <c r="A15" s="9" t="s">
        <v>116</v>
      </c>
      <c r="B15" s="34" t="s">
        <v>869</v>
      </c>
      <c r="C15" s="32"/>
      <c r="D15" s="32"/>
      <c r="E15" s="10"/>
      <c r="F15" s="10"/>
      <c r="G15" s="10"/>
      <c r="H15" s="9" t="s">
        <v>117</v>
      </c>
      <c r="I15" s="20">
        <v>46305</v>
      </c>
    </row>
    <row r="16" spans="1:9" ht="23.1" customHeight="1" x14ac:dyDescent="0.25">
      <c r="A16" s="9" t="s">
        <v>118</v>
      </c>
      <c r="B16" s="34" t="s">
        <v>40</v>
      </c>
      <c r="C16" s="32"/>
      <c r="D16" s="32"/>
      <c r="E16" s="32"/>
      <c r="F16" s="32"/>
      <c r="G16" s="32"/>
      <c r="H16" s="32"/>
      <c r="I16" s="32"/>
    </row>
    <row r="17" spans="1:9" ht="23.1" customHeight="1" x14ac:dyDescent="0.25">
      <c r="A17" s="9" t="s">
        <v>119</v>
      </c>
      <c r="B17" s="34" t="s">
        <v>208</v>
      </c>
      <c r="C17" s="32"/>
      <c r="D17" s="32"/>
      <c r="E17" s="32"/>
      <c r="F17" s="32"/>
      <c r="G17" s="32"/>
      <c r="H17" s="32"/>
      <c r="I17" s="32"/>
    </row>
    <row r="19" spans="1:9" ht="24" customHeight="1" x14ac:dyDescent="0.25">
      <c r="A19" s="31" t="s">
        <v>121</v>
      </c>
      <c r="B19" s="31" t="s">
        <v>122</v>
      </c>
      <c r="C19" s="32"/>
      <c r="D19" s="31" t="s">
        <v>123</v>
      </c>
      <c r="E19" s="31" t="s">
        <v>124</v>
      </c>
      <c r="F19" s="31" t="s">
        <v>125</v>
      </c>
    </row>
    <row r="20" spans="1:9" ht="65.099999999999994" customHeight="1" x14ac:dyDescent="0.25">
      <c r="A20" s="32"/>
      <c r="B20" s="5" t="s">
        <v>209</v>
      </c>
      <c r="C20" s="5" t="s">
        <v>210</v>
      </c>
      <c r="D20" s="32"/>
      <c r="E20" s="32"/>
      <c r="F20" s="32"/>
    </row>
    <row r="21" spans="1:9" ht="107.1" customHeight="1" x14ac:dyDescent="0.25">
      <c r="A21" s="12" t="s">
        <v>211</v>
      </c>
      <c r="B21" s="4" t="s">
        <v>212</v>
      </c>
      <c r="C21" s="4" t="s">
        <v>213</v>
      </c>
      <c r="D21" s="4" t="s">
        <v>214</v>
      </c>
      <c r="E21" s="4" t="s">
        <v>881</v>
      </c>
      <c r="F21" s="3" t="s">
        <v>5</v>
      </c>
    </row>
    <row r="22" spans="1:9" ht="107.1" customHeight="1" x14ac:dyDescent="0.25">
      <c r="A22" s="12" t="s">
        <v>215</v>
      </c>
      <c r="B22" s="4" t="s">
        <v>216</v>
      </c>
      <c r="C22" s="4" t="s">
        <v>217</v>
      </c>
      <c r="D22" s="4" t="s">
        <v>218</v>
      </c>
      <c r="E22" s="4" t="s">
        <v>880</v>
      </c>
      <c r="F22" s="3" t="s">
        <v>5</v>
      </c>
    </row>
    <row r="23" spans="1:9" ht="65.099999999999994" customHeight="1" x14ac:dyDescent="0.25">
      <c r="A23" s="12" t="s">
        <v>219</v>
      </c>
      <c r="B23" s="4" t="s">
        <v>220</v>
      </c>
      <c r="C23" s="4" t="s">
        <v>221</v>
      </c>
      <c r="D23" s="4" t="s">
        <v>222</v>
      </c>
      <c r="E23" s="4" t="s">
        <v>879</v>
      </c>
      <c r="F23" s="3" t="s">
        <v>5</v>
      </c>
    </row>
    <row r="24" spans="1:9" ht="23.1" customHeight="1" x14ac:dyDescent="0.25">
      <c r="A24" s="12" t="s">
        <v>223</v>
      </c>
      <c r="B24" s="4" t="s">
        <v>216</v>
      </c>
      <c r="C24" s="4" t="s">
        <v>224</v>
      </c>
      <c r="D24" s="4" t="s">
        <v>225</v>
      </c>
      <c r="E24" s="4" t="s">
        <v>877</v>
      </c>
      <c r="F24" s="3" t="s">
        <v>5</v>
      </c>
    </row>
    <row r="25" spans="1:9" ht="23.1" customHeight="1" x14ac:dyDescent="0.25">
      <c r="A25" s="12" t="s">
        <v>226</v>
      </c>
      <c r="B25" s="4" t="s">
        <v>216</v>
      </c>
      <c r="C25" s="4" t="s">
        <v>227</v>
      </c>
      <c r="D25" s="4" t="s">
        <v>228</v>
      </c>
      <c r="E25" s="4" t="s">
        <v>878</v>
      </c>
      <c r="F25" s="3" t="s">
        <v>5</v>
      </c>
    </row>
    <row r="26" spans="1:9" ht="65.099999999999994" customHeight="1" x14ac:dyDescent="0.25">
      <c r="A26" s="12" t="s">
        <v>229</v>
      </c>
      <c r="B26" s="4" t="s">
        <v>216</v>
      </c>
      <c r="C26" s="4" t="s">
        <v>230</v>
      </c>
      <c r="D26" s="4" t="s">
        <v>231</v>
      </c>
      <c r="E26" s="4" t="s">
        <v>876</v>
      </c>
      <c r="F26" s="3" t="s">
        <v>5</v>
      </c>
    </row>
    <row r="27" spans="1:9" ht="86.1" customHeight="1" x14ac:dyDescent="0.25">
      <c r="A27" s="12" t="s">
        <v>232</v>
      </c>
      <c r="B27" s="4" t="s">
        <v>233</v>
      </c>
      <c r="C27" s="4" t="s">
        <v>234</v>
      </c>
      <c r="D27" s="4" t="s">
        <v>235</v>
      </c>
      <c r="E27" s="4" t="s">
        <v>875</v>
      </c>
      <c r="F27" s="3" t="s">
        <v>5</v>
      </c>
    </row>
    <row r="28" spans="1:9" ht="86.1" customHeight="1" x14ac:dyDescent="0.25">
      <c r="A28" s="12" t="s">
        <v>236</v>
      </c>
      <c r="B28" s="4" t="s">
        <v>237</v>
      </c>
      <c r="C28" s="4" t="s">
        <v>234</v>
      </c>
      <c r="D28" s="4" t="s">
        <v>238</v>
      </c>
      <c r="E28" s="4" t="s">
        <v>874</v>
      </c>
      <c r="F28" s="3" t="s">
        <v>5</v>
      </c>
    </row>
    <row r="29" spans="1:9" ht="23.1" customHeight="1" x14ac:dyDescent="0.25">
      <c r="A29" s="12" t="s">
        <v>239</v>
      </c>
      <c r="B29" s="4" t="s">
        <v>240</v>
      </c>
      <c r="C29" s="4" t="s">
        <v>241</v>
      </c>
      <c r="D29" s="4" t="s">
        <v>242</v>
      </c>
      <c r="E29" s="4" t="s">
        <v>873</v>
      </c>
      <c r="F29" s="3" t="s">
        <v>5</v>
      </c>
    </row>
    <row r="30" spans="1:9" ht="65.099999999999994" customHeight="1" x14ac:dyDescent="0.25">
      <c r="A30" s="12" t="s">
        <v>243</v>
      </c>
      <c r="B30" s="4" t="s">
        <v>240</v>
      </c>
      <c r="C30" s="4" t="s">
        <v>244</v>
      </c>
      <c r="D30" s="4" t="s">
        <v>245</v>
      </c>
      <c r="E30" s="4" t="s">
        <v>872</v>
      </c>
      <c r="F30" s="3" t="s">
        <v>5</v>
      </c>
    </row>
    <row r="31" spans="1:9" ht="23.1" customHeight="1" x14ac:dyDescent="0.25">
      <c r="A31" s="12" t="s">
        <v>246</v>
      </c>
      <c r="B31" s="4" t="s">
        <v>247</v>
      </c>
      <c r="C31" s="4" t="s">
        <v>248</v>
      </c>
      <c r="D31" s="4" t="s">
        <v>249</v>
      </c>
      <c r="E31" s="4" t="s">
        <v>871</v>
      </c>
      <c r="F31" s="3" t="s">
        <v>5</v>
      </c>
    </row>
    <row r="32" spans="1:9" ht="23.1" customHeight="1" x14ac:dyDescent="0.25">
      <c r="A32" s="12" t="s">
        <v>250</v>
      </c>
      <c r="B32" s="4" t="s">
        <v>251</v>
      </c>
      <c r="C32" s="4" t="s">
        <v>252</v>
      </c>
      <c r="D32" s="4" t="s">
        <v>253</v>
      </c>
      <c r="E32" s="4" t="s">
        <v>871</v>
      </c>
      <c r="F32" s="3" t="s">
        <v>5</v>
      </c>
    </row>
    <row r="33" spans="1:6" ht="65.099999999999994" customHeight="1" x14ac:dyDescent="0.25">
      <c r="A33" s="12" t="s">
        <v>254</v>
      </c>
      <c r="B33" s="4" t="s">
        <v>255</v>
      </c>
      <c r="C33" s="4" t="s">
        <v>256</v>
      </c>
      <c r="D33" s="4" t="s">
        <v>257</v>
      </c>
      <c r="E33" s="4" t="s">
        <v>871</v>
      </c>
      <c r="F33" s="3" t="s">
        <v>5</v>
      </c>
    </row>
    <row r="34" spans="1:6" ht="65.099999999999994" customHeight="1" x14ac:dyDescent="0.25">
      <c r="A34" s="12" t="s">
        <v>258</v>
      </c>
      <c r="B34" s="4" t="s">
        <v>259</v>
      </c>
      <c r="C34" s="4" t="s">
        <v>260</v>
      </c>
      <c r="D34" s="4" t="s">
        <v>261</v>
      </c>
      <c r="E34" s="4" t="s">
        <v>870</v>
      </c>
      <c r="F34" s="3" t="s">
        <v>5</v>
      </c>
    </row>
  </sheetData>
  <mergeCells count="24">
    <mergeCell ref="E19:E20"/>
    <mergeCell ref="B13:D13"/>
    <mergeCell ref="F19:F20"/>
    <mergeCell ref="B17:I17"/>
    <mergeCell ref="F4:I4"/>
    <mergeCell ref="B15:D15"/>
    <mergeCell ref="B8:C8"/>
    <mergeCell ref="F6:I6"/>
    <mergeCell ref="A1:I1"/>
    <mergeCell ref="B4:C4"/>
    <mergeCell ref="E2:F2"/>
    <mergeCell ref="F3:I3"/>
    <mergeCell ref="A19:A20"/>
    <mergeCell ref="B9:C9"/>
    <mergeCell ref="F5:I5"/>
    <mergeCell ref="D19:D20"/>
    <mergeCell ref="B6:C6"/>
    <mergeCell ref="A11:I11"/>
    <mergeCell ref="B5:C5"/>
    <mergeCell ref="B19:C19"/>
    <mergeCell ref="B14:D14"/>
    <mergeCell ref="B7:C7"/>
    <mergeCell ref="B3:C3"/>
    <mergeCell ref="B16:I16"/>
  </mergeCells>
  <conditionalFormatting sqref="F21:F34">
    <cfRule type="cellIs" dxfId="32" priority="1" operator="equal">
      <formula>"Pass"</formula>
    </cfRule>
    <cfRule type="cellIs" dxfId="31" priority="2" operator="equal">
      <formula>"Fail"</formula>
    </cfRule>
    <cfRule type="cellIs" dxfId="30" priority="3" operator="equal">
      <formula>"Block"</formula>
    </cfRule>
  </conditionalFormatting>
  <dataValidations count="1">
    <dataValidation type="list" allowBlank="1" sqref="F21:F34" xr:uid="{00000000-0002-0000-04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34"/>
  <sheetViews>
    <sheetView showGridLines="0" topLeftCell="A7" workbookViewId="0">
      <selection activeCell="H29" sqref="H29"/>
    </sheetView>
  </sheetViews>
  <sheetFormatPr defaultRowHeight="15" x14ac:dyDescent="0.25"/>
  <cols>
    <col min="1" max="1" width="22" customWidth="1"/>
    <col min="2" max="3" width="26" customWidth="1"/>
    <col min="4" max="4" width="42" customWidth="1"/>
    <col min="5" max="5" width="34.42578125" customWidth="1"/>
    <col min="6" max="6" width="17" customWidth="1"/>
    <col min="7" max="8" width="14" customWidth="1"/>
    <col min="9" max="9" width="17.85546875" customWidth="1"/>
  </cols>
  <sheetData>
    <row r="1" spans="1:9" x14ac:dyDescent="0.25">
      <c r="A1" s="35" t="s">
        <v>183</v>
      </c>
      <c r="B1" s="36"/>
      <c r="C1" s="36"/>
      <c r="D1" s="36"/>
      <c r="E1" s="36"/>
      <c r="F1" s="36"/>
      <c r="G1" s="36"/>
      <c r="H1" s="36"/>
      <c r="I1" s="36"/>
    </row>
    <row r="2" spans="1:9" ht="21" x14ac:dyDescent="0.25">
      <c r="A2" s="13" t="s">
        <v>184</v>
      </c>
      <c r="E2" s="39" t="s">
        <v>185</v>
      </c>
      <c r="F2" s="40"/>
    </row>
    <row r="3" spans="1:9" ht="21" x14ac:dyDescent="0.25">
      <c r="A3" s="14" t="s">
        <v>186</v>
      </c>
      <c r="B3" s="41" t="s">
        <v>187</v>
      </c>
      <c r="C3" s="42"/>
      <c r="E3" s="14" t="s">
        <v>186</v>
      </c>
      <c r="F3" s="41" t="s">
        <v>187</v>
      </c>
      <c r="G3" s="42"/>
      <c r="H3" s="42"/>
      <c r="I3" s="42"/>
    </row>
    <row r="4" spans="1:9" ht="23.1" customHeight="1" x14ac:dyDescent="0.25">
      <c r="A4" s="15" t="s">
        <v>188</v>
      </c>
      <c r="B4" s="37" t="s">
        <v>262</v>
      </c>
      <c r="C4" s="38"/>
      <c r="E4" s="15" t="s">
        <v>190</v>
      </c>
      <c r="F4" s="37" t="s">
        <v>263</v>
      </c>
      <c r="G4" s="38"/>
      <c r="H4" s="38"/>
      <c r="I4" s="38"/>
    </row>
    <row r="5" spans="1:9" ht="23.1" customHeight="1" x14ac:dyDescent="0.25">
      <c r="A5" s="15" t="s">
        <v>192</v>
      </c>
      <c r="B5" s="37" t="s">
        <v>264</v>
      </c>
      <c r="C5" s="38"/>
      <c r="E5" s="15" t="s">
        <v>194</v>
      </c>
      <c r="F5" s="37" t="s">
        <v>265</v>
      </c>
      <c r="G5" s="38"/>
      <c r="H5" s="38"/>
      <c r="I5" s="38"/>
    </row>
    <row r="6" spans="1:9" ht="23.1" customHeight="1" x14ac:dyDescent="0.25">
      <c r="A6" s="15" t="s">
        <v>196</v>
      </c>
      <c r="B6" s="37" t="s">
        <v>266</v>
      </c>
      <c r="C6" s="38"/>
      <c r="E6" s="15" t="s">
        <v>198</v>
      </c>
      <c r="F6" s="37" t="s">
        <v>267</v>
      </c>
      <c r="G6" s="38"/>
      <c r="H6" s="38"/>
      <c r="I6" s="38"/>
    </row>
    <row r="7" spans="1:9" ht="23.1" customHeight="1" x14ac:dyDescent="0.25">
      <c r="A7" s="15" t="s">
        <v>200</v>
      </c>
      <c r="B7" s="37" t="s">
        <v>268</v>
      </c>
      <c r="C7" s="38"/>
      <c r="E7" s="15" t="s">
        <v>269</v>
      </c>
      <c r="F7" s="37" t="s">
        <v>270</v>
      </c>
      <c r="G7" s="38"/>
      <c r="H7" s="38"/>
      <c r="I7" s="38"/>
    </row>
    <row r="8" spans="1:9" ht="23.1" customHeight="1" x14ac:dyDescent="0.25">
      <c r="E8" s="15" t="s">
        <v>271</v>
      </c>
      <c r="F8" s="37" t="s">
        <v>272</v>
      </c>
      <c r="G8" s="38"/>
      <c r="H8" s="38"/>
      <c r="I8" s="38"/>
    </row>
    <row r="9" spans="1:9" ht="23.1" customHeight="1" x14ac:dyDescent="0.25">
      <c r="E9" s="15" t="s">
        <v>273</v>
      </c>
      <c r="F9" s="37" t="s">
        <v>274</v>
      </c>
      <c r="G9" s="38"/>
      <c r="H9" s="38"/>
      <c r="I9" s="38"/>
    </row>
    <row r="10" spans="1:9" ht="23.1" customHeight="1" x14ac:dyDescent="0.25">
      <c r="E10" s="15" t="s">
        <v>275</v>
      </c>
      <c r="F10" s="37" t="s">
        <v>276</v>
      </c>
      <c r="G10" s="38"/>
      <c r="H10" s="38"/>
      <c r="I10" s="38"/>
    </row>
    <row r="11" spans="1:9" ht="23.1" customHeight="1" x14ac:dyDescent="0.25">
      <c r="E11" s="15" t="s">
        <v>277</v>
      </c>
      <c r="F11" s="37" t="s">
        <v>278</v>
      </c>
      <c r="G11" s="38"/>
      <c r="H11" s="38"/>
      <c r="I11" s="38"/>
    </row>
    <row r="13" spans="1:9" x14ac:dyDescent="0.25">
      <c r="A13" s="33" t="s">
        <v>90</v>
      </c>
      <c r="B13" s="30"/>
      <c r="C13" s="30"/>
      <c r="D13" s="30"/>
      <c r="E13" s="30"/>
      <c r="F13" s="30"/>
      <c r="G13" s="30"/>
      <c r="H13" s="30"/>
      <c r="I13" s="30"/>
    </row>
    <row r="15" spans="1:9" ht="23.1" customHeight="1" x14ac:dyDescent="0.25">
      <c r="A15" s="9" t="s">
        <v>100</v>
      </c>
      <c r="B15" s="34" t="s">
        <v>279</v>
      </c>
      <c r="C15" s="32"/>
      <c r="D15" s="32"/>
      <c r="E15" s="10"/>
      <c r="F15" s="10"/>
      <c r="G15" s="10"/>
      <c r="H15" s="9" t="s">
        <v>102</v>
      </c>
      <c r="I15" s="11" t="s">
        <v>867</v>
      </c>
    </row>
    <row r="16" spans="1:9" ht="23.1" customHeight="1" x14ac:dyDescent="0.25">
      <c r="A16" s="9" t="s">
        <v>108</v>
      </c>
      <c r="B16" s="34" t="s">
        <v>207</v>
      </c>
      <c r="C16" s="32"/>
      <c r="D16" s="32"/>
      <c r="E16" s="10"/>
      <c r="F16" s="10"/>
      <c r="G16" s="10"/>
      <c r="H16" s="9" t="s">
        <v>110</v>
      </c>
      <c r="I16" s="11" t="s">
        <v>868</v>
      </c>
    </row>
    <row r="17" spans="1:9" ht="46.5" customHeight="1" x14ac:dyDescent="0.25">
      <c r="A17" s="9" t="s">
        <v>116</v>
      </c>
      <c r="B17" s="34" t="s">
        <v>869</v>
      </c>
      <c r="C17" s="32"/>
      <c r="D17" s="32"/>
      <c r="E17" s="10"/>
      <c r="F17" s="10"/>
      <c r="G17" s="10"/>
      <c r="H17" s="9" t="s">
        <v>117</v>
      </c>
      <c r="I17" s="20">
        <v>46305</v>
      </c>
    </row>
    <row r="18" spans="1:9" ht="23.1" customHeight="1" x14ac:dyDescent="0.25">
      <c r="A18" s="9" t="s">
        <v>118</v>
      </c>
      <c r="B18" s="34" t="s">
        <v>41</v>
      </c>
      <c r="C18" s="32"/>
      <c r="D18" s="32"/>
      <c r="E18" s="32"/>
      <c r="F18" s="32"/>
      <c r="G18" s="32"/>
      <c r="H18" s="32"/>
      <c r="I18" s="32"/>
    </row>
    <row r="19" spans="1:9" ht="23.1" customHeight="1" x14ac:dyDescent="0.25">
      <c r="A19" s="9" t="s">
        <v>119</v>
      </c>
      <c r="B19" s="34" t="s">
        <v>280</v>
      </c>
      <c r="C19" s="32"/>
      <c r="D19" s="32"/>
      <c r="E19" s="32"/>
      <c r="F19" s="32"/>
      <c r="G19" s="32"/>
      <c r="H19" s="32"/>
      <c r="I19" s="32"/>
    </row>
    <row r="21" spans="1:9" ht="24" customHeight="1" x14ac:dyDescent="0.25">
      <c r="A21" s="31" t="s">
        <v>121</v>
      </c>
      <c r="B21" s="31" t="s">
        <v>122</v>
      </c>
      <c r="C21" s="32"/>
      <c r="D21" s="31" t="s">
        <v>123</v>
      </c>
      <c r="E21" s="31" t="s">
        <v>124</v>
      </c>
      <c r="F21" s="31" t="s">
        <v>125</v>
      </c>
    </row>
    <row r="22" spans="1:9" ht="65.099999999999994" customHeight="1" x14ac:dyDescent="0.25">
      <c r="A22" s="32"/>
      <c r="B22" s="5" t="s">
        <v>281</v>
      </c>
      <c r="C22" s="5" t="s">
        <v>282</v>
      </c>
      <c r="D22" s="32"/>
      <c r="E22" s="32"/>
      <c r="F22" s="32"/>
    </row>
    <row r="23" spans="1:9" ht="86.1" customHeight="1" x14ac:dyDescent="0.25">
      <c r="A23" s="12" t="s">
        <v>283</v>
      </c>
      <c r="B23" s="4" t="s">
        <v>284</v>
      </c>
      <c r="C23" s="4" t="s">
        <v>285</v>
      </c>
      <c r="D23" s="4" t="s">
        <v>286</v>
      </c>
      <c r="E23" s="4">
        <v>201</v>
      </c>
      <c r="F23" s="3" t="s">
        <v>5</v>
      </c>
    </row>
    <row r="24" spans="1:9" ht="65.099999999999994" customHeight="1" x14ac:dyDescent="0.25">
      <c r="A24" s="12" t="s">
        <v>287</v>
      </c>
      <c r="B24" s="4" t="s">
        <v>67</v>
      </c>
      <c r="C24" s="4" t="s">
        <v>288</v>
      </c>
      <c r="D24" s="4" t="s">
        <v>289</v>
      </c>
      <c r="E24" s="4">
        <v>200</v>
      </c>
      <c r="F24" s="3" t="s">
        <v>5</v>
      </c>
    </row>
    <row r="25" spans="1:9" ht="65.099999999999994" customHeight="1" x14ac:dyDescent="0.25">
      <c r="A25" s="12" t="s">
        <v>290</v>
      </c>
      <c r="B25" s="4" t="s">
        <v>291</v>
      </c>
      <c r="C25" s="4" t="s">
        <v>292</v>
      </c>
      <c r="D25" s="4" t="s">
        <v>293</v>
      </c>
      <c r="E25" s="4">
        <v>401</v>
      </c>
      <c r="F25" s="3" t="s">
        <v>5</v>
      </c>
    </row>
    <row r="26" spans="1:9" ht="65.099999999999994" customHeight="1" x14ac:dyDescent="0.25">
      <c r="A26" s="12" t="s">
        <v>294</v>
      </c>
      <c r="B26" s="4" t="s">
        <v>284</v>
      </c>
      <c r="C26" s="4" t="s">
        <v>295</v>
      </c>
      <c r="D26" s="4" t="s">
        <v>296</v>
      </c>
      <c r="E26" s="4">
        <v>401</v>
      </c>
      <c r="F26" s="3" t="s">
        <v>5</v>
      </c>
    </row>
    <row r="27" spans="1:9" ht="23.1" customHeight="1" x14ac:dyDescent="0.25">
      <c r="A27" s="12" t="s">
        <v>297</v>
      </c>
      <c r="B27" s="4" t="s">
        <v>284</v>
      </c>
      <c r="C27" s="4" t="s">
        <v>298</v>
      </c>
      <c r="D27" s="4" t="s">
        <v>299</v>
      </c>
      <c r="E27" s="4">
        <v>401</v>
      </c>
      <c r="F27" s="3" t="s">
        <v>5</v>
      </c>
    </row>
    <row r="28" spans="1:9" ht="65.099999999999994" customHeight="1" x14ac:dyDescent="0.25">
      <c r="A28" s="12" t="s">
        <v>300</v>
      </c>
      <c r="B28" s="4" t="s">
        <v>301</v>
      </c>
      <c r="C28" s="4" t="s">
        <v>302</v>
      </c>
      <c r="D28" s="4" t="s">
        <v>303</v>
      </c>
      <c r="E28" s="4">
        <v>401</v>
      </c>
      <c r="F28" s="3" t="s">
        <v>5</v>
      </c>
    </row>
    <row r="29" spans="1:9" ht="23.1" customHeight="1" x14ac:dyDescent="0.25">
      <c r="A29" s="12" t="s">
        <v>304</v>
      </c>
      <c r="B29" s="4" t="s">
        <v>305</v>
      </c>
      <c r="C29" s="4" t="s">
        <v>302</v>
      </c>
      <c r="D29" s="4" t="s">
        <v>306</v>
      </c>
      <c r="E29" s="4">
        <v>401</v>
      </c>
      <c r="F29" s="3" t="s">
        <v>5</v>
      </c>
    </row>
    <row r="30" spans="1:9" ht="65.099999999999994" customHeight="1" x14ac:dyDescent="0.25">
      <c r="A30" s="12" t="s">
        <v>307</v>
      </c>
      <c r="B30" s="4" t="s">
        <v>308</v>
      </c>
      <c r="C30" s="4" t="s">
        <v>302</v>
      </c>
      <c r="D30" s="4" t="s">
        <v>309</v>
      </c>
      <c r="E30" s="4">
        <v>401</v>
      </c>
      <c r="F30" s="3" t="s">
        <v>5</v>
      </c>
    </row>
    <row r="31" spans="1:9" ht="65.099999999999994" customHeight="1" x14ac:dyDescent="0.25">
      <c r="A31" s="12" t="s">
        <v>310</v>
      </c>
      <c r="B31" s="4" t="s">
        <v>311</v>
      </c>
      <c r="C31" s="4" t="s">
        <v>312</v>
      </c>
      <c r="D31" s="4" t="s">
        <v>313</v>
      </c>
      <c r="E31" s="4">
        <v>200</v>
      </c>
      <c r="F31" s="3" t="s">
        <v>5</v>
      </c>
    </row>
    <row r="32" spans="1:9" ht="23.1" customHeight="1" x14ac:dyDescent="0.25">
      <c r="A32" s="12" t="s">
        <v>314</v>
      </c>
      <c r="B32" s="4" t="s">
        <v>315</v>
      </c>
      <c r="C32" s="4" t="s">
        <v>316</v>
      </c>
      <c r="D32" s="4" t="s">
        <v>317</v>
      </c>
      <c r="E32" s="4">
        <v>409</v>
      </c>
      <c r="F32" s="3" t="s">
        <v>5</v>
      </c>
    </row>
    <row r="33" spans="1:6" ht="65.099999999999994" customHeight="1" x14ac:dyDescent="0.25">
      <c r="A33" s="12" t="s">
        <v>318</v>
      </c>
      <c r="B33" s="4" t="s">
        <v>284</v>
      </c>
      <c r="C33" s="4" t="s">
        <v>319</v>
      </c>
      <c r="D33" s="4" t="s">
        <v>320</v>
      </c>
      <c r="E33" s="4">
        <v>400</v>
      </c>
      <c r="F33" s="3" t="s">
        <v>5</v>
      </c>
    </row>
    <row r="34" spans="1:6" ht="23.1" customHeight="1" x14ac:dyDescent="0.25">
      <c r="A34" s="12" t="s">
        <v>321</v>
      </c>
      <c r="B34" s="4" t="s">
        <v>291</v>
      </c>
      <c r="C34" s="4" t="s">
        <v>322</v>
      </c>
      <c r="D34" s="4" t="s">
        <v>323</v>
      </c>
      <c r="E34" s="4" t="s">
        <v>882</v>
      </c>
      <c r="F34" s="3" t="s">
        <v>5</v>
      </c>
    </row>
  </sheetData>
  <mergeCells count="27">
    <mergeCell ref="F9:I9"/>
    <mergeCell ref="B3:C3"/>
    <mergeCell ref="B17:D17"/>
    <mergeCell ref="B21:C21"/>
    <mergeCell ref="B18:I18"/>
    <mergeCell ref="F4:I4"/>
    <mergeCell ref="F21:F22"/>
    <mergeCell ref="F11:I11"/>
    <mergeCell ref="B15:D15"/>
    <mergeCell ref="F10:I10"/>
    <mergeCell ref="F6:I6"/>
    <mergeCell ref="A1:I1"/>
    <mergeCell ref="B4:C4"/>
    <mergeCell ref="D21:D22"/>
    <mergeCell ref="A21:A22"/>
    <mergeCell ref="F7:I7"/>
    <mergeCell ref="E2:F2"/>
    <mergeCell ref="F3:I3"/>
    <mergeCell ref="A13:I13"/>
    <mergeCell ref="F5:I5"/>
    <mergeCell ref="B16:D16"/>
    <mergeCell ref="B6:C6"/>
    <mergeCell ref="F8:I8"/>
    <mergeCell ref="B5:C5"/>
    <mergeCell ref="B19:I19"/>
    <mergeCell ref="E21:E22"/>
    <mergeCell ref="B7:C7"/>
  </mergeCells>
  <conditionalFormatting sqref="F23:F34">
    <cfRule type="cellIs" dxfId="29" priority="1" operator="equal">
      <formula>"Pass"</formula>
    </cfRule>
    <cfRule type="cellIs" dxfId="28" priority="2" operator="equal">
      <formula>"Fail"</formula>
    </cfRule>
    <cfRule type="cellIs" dxfId="27" priority="3" operator="equal">
      <formula>"Block"</formula>
    </cfRule>
  </conditionalFormatting>
  <dataValidations count="1">
    <dataValidation type="list" allowBlank="1" sqref="F23:F34" xr:uid="{00000000-0002-0000-05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76"/>
  <sheetViews>
    <sheetView showGridLines="0" topLeftCell="A68" workbookViewId="0">
      <selection activeCell="G73" sqref="G73"/>
    </sheetView>
  </sheetViews>
  <sheetFormatPr defaultRowHeight="15" x14ac:dyDescent="0.25"/>
  <cols>
    <col min="1" max="1" width="34" customWidth="1"/>
    <col min="2" max="2" width="16" customWidth="1"/>
    <col min="3" max="4" width="30" customWidth="1"/>
    <col min="5" max="5" width="40" customWidth="1"/>
    <col min="6" max="6" width="34" customWidth="1"/>
    <col min="7" max="7" width="17" customWidth="1"/>
  </cols>
  <sheetData>
    <row r="1" spans="1:7" ht="21" x14ac:dyDescent="0.25">
      <c r="A1" s="16" t="s">
        <v>187</v>
      </c>
      <c r="B1" s="17" t="s">
        <v>324</v>
      </c>
      <c r="C1" s="17" t="s">
        <v>325</v>
      </c>
      <c r="D1" s="17" t="s">
        <v>326</v>
      </c>
      <c r="E1" s="17" t="s">
        <v>327</v>
      </c>
      <c r="F1" s="17" t="s">
        <v>328</v>
      </c>
    </row>
    <row r="2" spans="1:7" ht="23.1" customHeight="1" x14ac:dyDescent="0.25">
      <c r="A2" s="4" t="s">
        <v>329</v>
      </c>
      <c r="B2" s="3" t="s">
        <v>330</v>
      </c>
      <c r="C2" s="3" t="s">
        <v>331</v>
      </c>
      <c r="D2" s="3" t="s">
        <v>332</v>
      </c>
      <c r="E2" s="3" t="s">
        <v>333</v>
      </c>
      <c r="F2" s="3" t="s">
        <v>334</v>
      </c>
    </row>
    <row r="3" spans="1:7" ht="21" x14ac:dyDescent="0.25">
      <c r="A3" s="16" t="s">
        <v>335</v>
      </c>
      <c r="B3" s="18"/>
      <c r="C3" s="18"/>
      <c r="D3" s="18"/>
      <c r="E3" s="18"/>
      <c r="F3" s="18"/>
    </row>
    <row r="4" spans="1:7" ht="23.1" customHeight="1" x14ac:dyDescent="0.25">
      <c r="A4" s="4" t="s">
        <v>336</v>
      </c>
      <c r="B4" s="3" t="s">
        <v>337</v>
      </c>
      <c r="C4" s="3" t="s">
        <v>337</v>
      </c>
      <c r="D4" s="3" t="s">
        <v>337</v>
      </c>
      <c r="E4" s="3" t="s">
        <v>337</v>
      </c>
      <c r="F4" s="3" t="s">
        <v>337</v>
      </c>
    </row>
    <row r="5" spans="1:7" ht="23.1" customHeight="1" x14ac:dyDescent="0.25">
      <c r="A5" s="4" t="s">
        <v>338</v>
      </c>
      <c r="B5" s="3" t="s">
        <v>339</v>
      </c>
      <c r="C5" s="3" t="s">
        <v>337</v>
      </c>
      <c r="D5" s="3" t="s">
        <v>337</v>
      </c>
      <c r="E5" s="3" t="s">
        <v>337</v>
      </c>
      <c r="F5" s="3" t="s">
        <v>337</v>
      </c>
    </row>
    <row r="6" spans="1:7" ht="23.1" customHeight="1" x14ac:dyDescent="0.25">
      <c r="A6" s="4" t="s">
        <v>340</v>
      </c>
      <c r="B6" s="3" t="s">
        <v>339</v>
      </c>
      <c r="C6" s="3" t="s">
        <v>341</v>
      </c>
      <c r="D6" s="3" t="s">
        <v>341</v>
      </c>
      <c r="E6" s="3" t="s">
        <v>337</v>
      </c>
      <c r="F6" s="3" t="s">
        <v>337</v>
      </c>
    </row>
    <row r="7" spans="1:7" ht="23.1" customHeight="1" x14ac:dyDescent="0.25">
      <c r="A7" s="4" t="s">
        <v>342</v>
      </c>
      <c r="B7" s="3" t="s">
        <v>339</v>
      </c>
      <c r="C7" s="3" t="s">
        <v>341</v>
      </c>
      <c r="D7" s="3" t="s">
        <v>341</v>
      </c>
      <c r="E7" s="3" t="s">
        <v>341</v>
      </c>
      <c r="F7" s="3" t="s">
        <v>337</v>
      </c>
    </row>
    <row r="8" spans="1:7" ht="23.1" customHeight="1" x14ac:dyDescent="0.25">
      <c r="A8" s="4" t="s">
        <v>343</v>
      </c>
      <c r="B8" s="3" t="s">
        <v>339</v>
      </c>
      <c r="C8" s="3" t="s">
        <v>341</v>
      </c>
      <c r="D8" s="3" t="s">
        <v>341</v>
      </c>
      <c r="E8" s="3" t="s">
        <v>341</v>
      </c>
      <c r="F8" s="3" t="s">
        <v>337</v>
      </c>
    </row>
    <row r="9" spans="1:7" ht="23.1" customHeight="1" x14ac:dyDescent="0.25">
      <c r="A9" s="4" t="s">
        <v>344</v>
      </c>
      <c r="B9" s="3" t="s">
        <v>339</v>
      </c>
      <c r="C9" s="3" t="s">
        <v>341</v>
      </c>
      <c r="D9" s="3" t="s">
        <v>341</v>
      </c>
      <c r="E9" s="3" t="s">
        <v>337</v>
      </c>
      <c r="F9" s="3" t="s">
        <v>337</v>
      </c>
    </row>
    <row r="10" spans="1:7" ht="23.1" customHeight="1" x14ac:dyDescent="0.25">
      <c r="A10" s="4" t="s">
        <v>345</v>
      </c>
      <c r="B10" s="3" t="s">
        <v>339</v>
      </c>
      <c r="C10" s="3" t="s">
        <v>341</v>
      </c>
      <c r="D10" s="3" t="s">
        <v>341</v>
      </c>
      <c r="E10" s="3" t="s">
        <v>337</v>
      </c>
      <c r="F10" s="3" t="s">
        <v>337</v>
      </c>
    </row>
    <row r="11" spans="1:7" ht="23.1" customHeight="1" x14ac:dyDescent="0.25">
      <c r="A11" s="4" t="s">
        <v>346</v>
      </c>
      <c r="B11" s="3" t="s">
        <v>339</v>
      </c>
      <c r="C11" s="3" t="s">
        <v>341</v>
      </c>
      <c r="D11" s="3" t="s">
        <v>341</v>
      </c>
      <c r="E11" s="3" t="s">
        <v>337</v>
      </c>
      <c r="F11" s="3" t="s">
        <v>337</v>
      </c>
    </row>
    <row r="12" spans="1:7" ht="23.1" customHeight="1" x14ac:dyDescent="0.25">
      <c r="A12" s="4" t="s">
        <v>347</v>
      </c>
      <c r="B12" s="3" t="s">
        <v>339</v>
      </c>
      <c r="C12" s="3" t="s">
        <v>348</v>
      </c>
      <c r="D12" s="3" t="s">
        <v>348</v>
      </c>
      <c r="E12" s="3" t="s">
        <v>337</v>
      </c>
      <c r="F12" s="3" t="s">
        <v>337</v>
      </c>
    </row>
    <row r="13" spans="1:7" ht="65.099999999999994" customHeight="1" x14ac:dyDescent="0.25">
      <c r="A13" s="4" t="s">
        <v>349</v>
      </c>
      <c r="B13" s="3" t="s">
        <v>339</v>
      </c>
      <c r="C13" s="3" t="s">
        <v>348</v>
      </c>
      <c r="D13" s="3" t="s">
        <v>337</v>
      </c>
      <c r="E13" s="3" t="s">
        <v>337</v>
      </c>
      <c r="F13" s="3" t="s">
        <v>337</v>
      </c>
    </row>
    <row r="14" spans="1:7" ht="21" x14ac:dyDescent="0.25">
      <c r="A14" s="4" t="s">
        <v>350</v>
      </c>
      <c r="B14" s="3"/>
      <c r="C14" s="3"/>
      <c r="D14" s="3"/>
      <c r="E14" s="3"/>
      <c r="F14" s="3"/>
    </row>
    <row r="15" spans="1:7" ht="23.1" customHeight="1" x14ac:dyDescent="0.25">
      <c r="A15" s="22"/>
      <c r="B15" s="23"/>
      <c r="C15" s="23"/>
      <c r="D15" s="23"/>
      <c r="E15" s="23"/>
      <c r="F15" s="23"/>
      <c r="G15" s="23"/>
    </row>
    <row r="17" spans="1:7" x14ac:dyDescent="0.25">
      <c r="A17" s="33" t="s">
        <v>90</v>
      </c>
      <c r="B17" s="30"/>
      <c r="C17" s="30"/>
      <c r="D17" s="30"/>
      <c r="E17" s="30"/>
      <c r="F17" s="30"/>
      <c r="G17" s="30"/>
    </row>
    <row r="19" spans="1:7" ht="23.1" customHeight="1" x14ac:dyDescent="0.25">
      <c r="A19" s="9" t="s">
        <v>100</v>
      </c>
      <c r="B19" s="34" t="s">
        <v>351</v>
      </c>
      <c r="C19" s="32"/>
      <c r="D19" s="32"/>
      <c r="E19" s="32"/>
      <c r="F19" s="9" t="s">
        <v>102</v>
      </c>
      <c r="G19" s="11" t="s">
        <v>867</v>
      </c>
    </row>
    <row r="20" spans="1:7" ht="23.1" customHeight="1" x14ac:dyDescent="0.25">
      <c r="A20" s="9" t="s">
        <v>108</v>
      </c>
      <c r="B20" s="34" t="s">
        <v>352</v>
      </c>
      <c r="C20" s="32"/>
      <c r="D20" s="32"/>
      <c r="E20" s="32"/>
      <c r="F20" s="9" t="s">
        <v>110</v>
      </c>
      <c r="G20" s="11" t="s">
        <v>868</v>
      </c>
    </row>
    <row r="21" spans="1:7" ht="24" customHeight="1" x14ac:dyDescent="0.25">
      <c r="A21" s="9" t="s">
        <v>116</v>
      </c>
      <c r="B21" s="34" t="s">
        <v>869</v>
      </c>
      <c r="C21" s="32"/>
      <c r="D21" s="32"/>
      <c r="E21" s="32"/>
      <c r="F21" s="9" t="s">
        <v>117</v>
      </c>
      <c r="G21" s="20">
        <v>46305</v>
      </c>
    </row>
    <row r="22" spans="1:7" ht="65.099999999999994" customHeight="1" x14ac:dyDescent="0.25">
      <c r="A22" s="9" t="s">
        <v>118</v>
      </c>
      <c r="B22" s="34" t="s">
        <v>42</v>
      </c>
      <c r="C22" s="32"/>
      <c r="D22" s="32"/>
      <c r="E22" s="32"/>
      <c r="F22" s="32"/>
      <c r="G22" s="32"/>
    </row>
    <row r="23" spans="1:7" ht="23.1" customHeight="1" x14ac:dyDescent="0.25">
      <c r="A23" s="9" t="s">
        <v>119</v>
      </c>
      <c r="B23" s="34" t="s">
        <v>353</v>
      </c>
      <c r="C23" s="32"/>
      <c r="D23" s="32"/>
      <c r="E23" s="32"/>
      <c r="F23" s="32"/>
      <c r="G23" s="32"/>
    </row>
    <row r="25" spans="1:7" ht="24" customHeight="1" x14ac:dyDescent="0.25">
      <c r="A25" s="31" t="s">
        <v>354</v>
      </c>
      <c r="B25" s="31" t="s">
        <v>121</v>
      </c>
      <c r="C25" s="31" t="s">
        <v>122</v>
      </c>
      <c r="D25" s="32"/>
      <c r="E25" s="31" t="s">
        <v>123</v>
      </c>
      <c r="F25" s="31" t="s">
        <v>124</v>
      </c>
      <c r="G25" s="31" t="s">
        <v>125</v>
      </c>
    </row>
    <row r="26" spans="1:7" ht="65.099999999999994" customHeight="1" x14ac:dyDescent="0.25">
      <c r="A26" s="32"/>
      <c r="B26" s="32"/>
      <c r="C26" s="5" t="s">
        <v>355</v>
      </c>
      <c r="D26" s="5" t="s">
        <v>356</v>
      </c>
      <c r="E26" s="32"/>
      <c r="F26" s="32"/>
      <c r="G26" s="32"/>
    </row>
    <row r="27" spans="1:7" ht="65.099999999999994" customHeight="1" x14ac:dyDescent="0.25">
      <c r="A27" s="3" t="s">
        <v>357</v>
      </c>
      <c r="B27" s="12" t="s">
        <v>358</v>
      </c>
      <c r="C27" s="4" t="s">
        <v>359</v>
      </c>
      <c r="D27" s="4" t="s">
        <v>330</v>
      </c>
      <c r="E27" s="4" t="s">
        <v>360</v>
      </c>
      <c r="F27" s="4" t="s">
        <v>883</v>
      </c>
      <c r="G27" s="3" t="s">
        <v>5</v>
      </c>
    </row>
    <row r="28" spans="1:7" ht="65.099999999999994" customHeight="1" x14ac:dyDescent="0.25">
      <c r="A28" s="3" t="s">
        <v>361</v>
      </c>
      <c r="B28" s="12" t="s">
        <v>362</v>
      </c>
      <c r="C28" s="4" t="s">
        <v>359</v>
      </c>
      <c r="D28" s="4" t="s">
        <v>331</v>
      </c>
      <c r="E28" s="4" t="s">
        <v>360</v>
      </c>
      <c r="F28" s="4" t="s">
        <v>883</v>
      </c>
      <c r="G28" s="3" t="s">
        <v>5</v>
      </c>
    </row>
    <row r="29" spans="1:7" ht="65.099999999999994" customHeight="1" x14ac:dyDescent="0.25">
      <c r="A29" s="3" t="s">
        <v>363</v>
      </c>
      <c r="B29" s="12" t="s">
        <v>364</v>
      </c>
      <c r="C29" s="4" t="s">
        <v>359</v>
      </c>
      <c r="D29" s="4" t="s">
        <v>332</v>
      </c>
      <c r="E29" s="4" t="s">
        <v>360</v>
      </c>
      <c r="F29" s="4" t="s">
        <v>883</v>
      </c>
      <c r="G29" s="3" t="s">
        <v>5</v>
      </c>
    </row>
    <row r="30" spans="1:7" ht="65.099999999999994" customHeight="1" x14ac:dyDescent="0.25">
      <c r="A30" s="3" t="s">
        <v>365</v>
      </c>
      <c r="B30" s="12" t="s">
        <v>366</v>
      </c>
      <c r="C30" s="4" t="s">
        <v>359</v>
      </c>
      <c r="D30" s="4" t="s">
        <v>333</v>
      </c>
      <c r="E30" s="4" t="s">
        <v>360</v>
      </c>
      <c r="F30" s="4" t="s">
        <v>883</v>
      </c>
      <c r="G30" s="3" t="s">
        <v>5</v>
      </c>
    </row>
    <row r="31" spans="1:7" ht="65.099999999999994" customHeight="1" x14ac:dyDescent="0.25">
      <c r="A31" s="3" t="s">
        <v>367</v>
      </c>
      <c r="B31" s="12" t="s">
        <v>368</v>
      </c>
      <c r="C31" s="4" t="s">
        <v>359</v>
      </c>
      <c r="D31" s="4" t="s">
        <v>334</v>
      </c>
      <c r="E31" s="4" t="s">
        <v>360</v>
      </c>
      <c r="F31" s="4" t="s">
        <v>883</v>
      </c>
      <c r="G31" s="3" t="s">
        <v>5</v>
      </c>
    </row>
    <row r="32" spans="1:7" ht="23.1" customHeight="1" x14ac:dyDescent="0.25">
      <c r="A32" s="3" t="s">
        <v>357</v>
      </c>
      <c r="B32" s="12" t="s">
        <v>369</v>
      </c>
      <c r="C32" s="4" t="s">
        <v>370</v>
      </c>
      <c r="D32" s="4" t="s">
        <v>330</v>
      </c>
      <c r="E32" s="4" t="s">
        <v>371</v>
      </c>
      <c r="F32" s="4">
        <v>401</v>
      </c>
      <c r="G32" s="3" t="s">
        <v>5</v>
      </c>
    </row>
    <row r="33" spans="1:7" ht="65.099999999999994" customHeight="1" x14ac:dyDescent="0.25">
      <c r="A33" s="3" t="s">
        <v>361</v>
      </c>
      <c r="B33" s="12" t="s">
        <v>372</v>
      </c>
      <c r="C33" s="4" t="s">
        <v>370</v>
      </c>
      <c r="D33" s="4" t="s">
        <v>331</v>
      </c>
      <c r="E33" s="4" t="s">
        <v>360</v>
      </c>
      <c r="F33" s="4" t="s">
        <v>883</v>
      </c>
      <c r="G33" s="3" t="s">
        <v>5</v>
      </c>
    </row>
    <row r="34" spans="1:7" ht="65.099999999999994" customHeight="1" x14ac:dyDescent="0.25">
      <c r="A34" s="3" t="s">
        <v>363</v>
      </c>
      <c r="B34" s="12" t="s">
        <v>373</v>
      </c>
      <c r="C34" s="4" t="s">
        <v>370</v>
      </c>
      <c r="D34" s="4" t="s">
        <v>332</v>
      </c>
      <c r="E34" s="4" t="s">
        <v>360</v>
      </c>
      <c r="F34" s="4" t="s">
        <v>883</v>
      </c>
      <c r="G34" s="3" t="s">
        <v>5</v>
      </c>
    </row>
    <row r="35" spans="1:7" ht="65.099999999999994" customHeight="1" x14ac:dyDescent="0.25">
      <c r="A35" s="3" t="s">
        <v>365</v>
      </c>
      <c r="B35" s="12" t="s">
        <v>374</v>
      </c>
      <c r="C35" s="4" t="s">
        <v>370</v>
      </c>
      <c r="D35" s="4" t="s">
        <v>333</v>
      </c>
      <c r="E35" s="4" t="s">
        <v>360</v>
      </c>
      <c r="F35" s="4" t="s">
        <v>883</v>
      </c>
      <c r="G35" s="3" t="s">
        <v>5</v>
      </c>
    </row>
    <row r="36" spans="1:7" ht="65.099999999999994" customHeight="1" x14ac:dyDescent="0.25">
      <c r="A36" s="3" t="s">
        <v>367</v>
      </c>
      <c r="B36" s="12" t="s">
        <v>375</v>
      </c>
      <c r="C36" s="4" t="s">
        <v>370</v>
      </c>
      <c r="D36" s="4" t="s">
        <v>334</v>
      </c>
      <c r="E36" s="4" t="s">
        <v>360</v>
      </c>
      <c r="F36" s="4" t="s">
        <v>883</v>
      </c>
      <c r="G36" s="3" t="s">
        <v>5</v>
      </c>
    </row>
    <row r="37" spans="1:7" ht="23.1" customHeight="1" x14ac:dyDescent="0.25">
      <c r="A37" s="3" t="s">
        <v>357</v>
      </c>
      <c r="B37" s="12" t="s">
        <v>376</v>
      </c>
      <c r="C37" s="4" t="s">
        <v>377</v>
      </c>
      <c r="D37" s="4" t="s">
        <v>330</v>
      </c>
      <c r="E37" s="4" t="s">
        <v>371</v>
      </c>
      <c r="F37" s="4">
        <v>401</v>
      </c>
      <c r="G37" s="3" t="s">
        <v>5</v>
      </c>
    </row>
    <row r="38" spans="1:7" ht="23.1" customHeight="1" x14ac:dyDescent="0.25">
      <c r="A38" s="3" t="s">
        <v>361</v>
      </c>
      <c r="B38" s="12" t="s">
        <v>378</v>
      </c>
      <c r="C38" s="4" t="s">
        <v>377</v>
      </c>
      <c r="D38" s="4" t="s">
        <v>331</v>
      </c>
      <c r="E38" s="4" t="s">
        <v>379</v>
      </c>
      <c r="F38" s="4">
        <v>403</v>
      </c>
      <c r="G38" s="3" t="s">
        <v>5</v>
      </c>
    </row>
    <row r="39" spans="1:7" ht="23.1" customHeight="1" x14ac:dyDescent="0.25">
      <c r="A39" s="3" t="s">
        <v>363</v>
      </c>
      <c r="B39" s="12" t="s">
        <v>380</v>
      </c>
      <c r="C39" s="4" t="s">
        <v>377</v>
      </c>
      <c r="D39" s="4" t="s">
        <v>332</v>
      </c>
      <c r="E39" s="4" t="s">
        <v>379</v>
      </c>
      <c r="F39" s="4">
        <v>403</v>
      </c>
      <c r="G39" s="3" t="s">
        <v>5</v>
      </c>
    </row>
    <row r="40" spans="1:7" ht="65.099999999999994" customHeight="1" x14ac:dyDescent="0.25">
      <c r="A40" s="3" t="s">
        <v>365</v>
      </c>
      <c r="B40" s="12" t="s">
        <v>381</v>
      </c>
      <c r="C40" s="4" t="s">
        <v>377</v>
      </c>
      <c r="D40" s="4" t="s">
        <v>333</v>
      </c>
      <c r="E40" s="4" t="s">
        <v>360</v>
      </c>
      <c r="F40" s="4" t="s">
        <v>883</v>
      </c>
      <c r="G40" s="3" t="s">
        <v>5</v>
      </c>
    </row>
    <row r="41" spans="1:7" ht="65.099999999999994" customHeight="1" x14ac:dyDescent="0.25">
      <c r="A41" s="3" t="s">
        <v>367</v>
      </c>
      <c r="B41" s="12" t="s">
        <v>382</v>
      </c>
      <c r="C41" s="4" t="s">
        <v>377</v>
      </c>
      <c r="D41" s="4" t="s">
        <v>334</v>
      </c>
      <c r="E41" s="4" t="s">
        <v>360</v>
      </c>
      <c r="F41" s="4" t="s">
        <v>883</v>
      </c>
      <c r="G41" s="3" t="s">
        <v>5</v>
      </c>
    </row>
    <row r="42" spans="1:7" ht="23.1" customHeight="1" x14ac:dyDescent="0.25">
      <c r="A42" s="3" t="s">
        <v>357</v>
      </c>
      <c r="B42" s="12" t="s">
        <v>383</v>
      </c>
      <c r="C42" s="4" t="s">
        <v>384</v>
      </c>
      <c r="D42" s="4" t="s">
        <v>330</v>
      </c>
      <c r="E42" s="4" t="s">
        <v>371</v>
      </c>
      <c r="F42" s="4">
        <v>401</v>
      </c>
      <c r="G42" s="3" t="s">
        <v>5</v>
      </c>
    </row>
    <row r="43" spans="1:7" ht="23.1" customHeight="1" x14ac:dyDescent="0.25">
      <c r="A43" s="3" t="s">
        <v>361</v>
      </c>
      <c r="B43" s="12" t="s">
        <v>385</v>
      </c>
      <c r="C43" s="4" t="s">
        <v>384</v>
      </c>
      <c r="D43" s="4" t="s">
        <v>331</v>
      </c>
      <c r="E43" s="4" t="s">
        <v>379</v>
      </c>
      <c r="F43" s="4">
        <v>403</v>
      </c>
      <c r="G43" s="3" t="s">
        <v>5</v>
      </c>
    </row>
    <row r="44" spans="1:7" ht="23.1" customHeight="1" x14ac:dyDescent="0.25">
      <c r="A44" s="3" t="s">
        <v>363</v>
      </c>
      <c r="B44" s="12" t="s">
        <v>386</v>
      </c>
      <c r="C44" s="4" t="s">
        <v>384</v>
      </c>
      <c r="D44" s="4" t="s">
        <v>332</v>
      </c>
      <c r="E44" s="4" t="s">
        <v>379</v>
      </c>
      <c r="F44" s="4">
        <v>403</v>
      </c>
      <c r="G44" s="3" t="s">
        <v>5</v>
      </c>
    </row>
    <row r="45" spans="1:7" ht="23.1" customHeight="1" x14ac:dyDescent="0.25">
      <c r="A45" s="3" t="s">
        <v>365</v>
      </c>
      <c r="B45" s="12" t="s">
        <v>387</v>
      </c>
      <c r="C45" s="4" t="s">
        <v>384</v>
      </c>
      <c r="D45" s="4" t="s">
        <v>333</v>
      </c>
      <c r="E45" s="4" t="s">
        <v>379</v>
      </c>
      <c r="F45" s="4">
        <v>403</v>
      </c>
      <c r="G45" s="3" t="s">
        <v>5</v>
      </c>
    </row>
    <row r="46" spans="1:7" ht="65.099999999999994" customHeight="1" x14ac:dyDescent="0.25">
      <c r="A46" s="3" t="s">
        <v>367</v>
      </c>
      <c r="B46" s="12" t="s">
        <v>388</v>
      </c>
      <c r="C46" s="4" t="s">
        <v>384</v>
      </c>
      <c r="D46" s="4" t="s">
        <v>334</v>
      </c>
      <c r="E46" s="4" t="s">
        <v>360</v>
      </c>
      <c r="F46" s="4" t="s">
        <v>884</v>
      </c>
      <c r="G46" s="3" t="s">
        <v>5</v>
      </c>
    </row>
    <row r="47" spans="1:7" ht="65.099999999999994" customHeight="1" x14ac:dyDescent="0.25">
      <c r="A47" s="3" t="s">
        <v>357</v>
      </c>
      <c r="B47" s="12" t="s">
        <v>389</v>
      </c>
      <c r="C47" s="4" t="s">
        <v>390</v>
      </c>
      <c r="D47" s="4" t="s">
        <v>330</v>
      </c>
      <c r="E47" s="4" t="s">
        <v>371</v>
      </c>
      <c r="F47" s="4">
        <v>401</v>
      </c>
      <c r="G47" s="3" t="s">
        <v>5</v>
      </c>
    </row>
    <row r="48" spans="1:7" ht="65.099999999999994" customHeight="1" x14ac:dyDescent="0.25">
      <c r="A48" s="3" t="s">
        <v>361</v>
      </c>
      <c r="B48" s="12" t="s">
        <v>391</v>
      </c>
      <c r="C48" s="4" t="s">
        <v>390</v>
      </c>
      <c r="D48" s="4" t="s">
        <v>331</v>
      </c>
      <c r="E48" s="4" t="s">
        <v>379</v>
      </c>
      <c r="F48" s="4">
        <v>403</v>
      </c>
      <c r="G48" s="3" t="s">
        <v>5</v>
      </c>
    </row>
    <row r="49" spans="1:7" ht="65.099999999999994" customHeight="1" x14ac:dyDescent="0.25">
      <c r="A49" s="3" t="s">
        <v>363</v>
      </c>
      <c r="B49" s="12" t="s">
        <v>392</v>
      </c>
      <c r="C49" s="4" t="s">
        <v>390</v>
      </c>
      <c r="D49" s="4" t="s">
        <v>332</v>
      </c>
      <c r="E49" s="4" t="s">
        <v>379</v>
      </c>
      <c r="F49" s="4">
        <v>403</v>
      </c>
      <c r="G49" s="3" t="s">
        <v>5</v>
      </c>
    </row>
    <row r="50" spans="1:7" ht="65.099999999999994" customHeight="1" x14ac:dyDescent="0.25">
      <c r="A50" s="3" t="s">
        <v>365</v>
      </c>
      <c r="B50" s="12" t="s">
        <v>393</v>
      </c>
      <c r="C50" s="4" t="s">
        <v>390</v>
      </c>
      <c r="D50" s="4" t="s">
        <v>333</v>
      </c>
      <c r="E50" s="4" t="s">
        <v>379</v>
      </c>
      <c r="F50" s="4">
        <v>403</v>
      </c>
      <c r="G50" s="3" t="s">
        <v>5</v>
      </c>
    </row>
    <row r="51" spans="1:7" ht="65.099999999999994" customHeight="1" x14ac:dyDescent="0.25">
      <c r="A51" s="3" t="s">
        <v>367</v>
      </c>
      <c r="B51" s="12" t="s">
        <v>394</v>
      </c>
      <c r="C51" s="4" t="s">
        <v>390</v>
      </c>
      <c r="D51" s="4" t="s">
        <v>334</v>
      </c>
      <c r="E51" s="4" t="s">
        <v>360</v>
      </c>
      <c r="F51" s="4" t="s">
        <v>883</v>
      </c>
      <c r="G51" s="3" t="s">
        <v>5</v>
      </c>
    </row>
    <row r="52" spans="1:7" ht="65.099999999999994" customHeight="1" x14ac:dyDescent="0.25">
      <c r="A52" s="3" t="s">
        <v>357</v>
      </c>
      <c r="B52" s="12" t="s">
        <v>395</v>
      </c>
      <c r="C52" s="4" t="s">
        <v>396</v>
      </c>
      <c r="D52" s="4" t="s">
        <v>330</v>
      </c>
      <c r="E52" s="4" t="s">
        <v>371</v>
      </c>
      <c r="F52" s="4">
        <v>401</v>
      </c>
      <c r="G52" s="3" t="s">
        <v>5</v>
      </c>
    </row>
    <row r="53" spans="1:7" ht="65.099999999999994" customHeight="1" x14ac:dyDescent="0.25">
      <c r="A53" s="3" t="s">
        <v>361</v>
      </c>
      <c r="B53" s="12" t="s">
        <v>397</v>
      </c>
      <c r="C53" s="4" t="s">
        <v>396</v>
      </c>
      <c r="D53" s="4" t="s">
        <v>331</v>
      </c>
      <c r="E53" s="4" t="s">
        <v>379</v>
      </c>
      <c r="F53" s="4">
        <v>403</v>
      </c>
      <c r="G53" s="3" t="s">
        <v>5</v>
      </c>
    </row>
    <row r="54" spans="1:7" ht="65.099999999999994" customHeight="1" x14ac:dyDescent="0.25">
      <c r="A54" s="3" t="s">
        <v>363</v>
      </c>
      <c r="B54" s="12" t="s">
        <v>398</v>
      </c>
      <c r="C54" s="4" t="s">
        <v>396</v>
      </c>
      <c r="D54" s="4" t="s">
        <v>332</v>
      </c>
      <c r="E54" s="4" t="s">
        <v>379</v>
      </c>
      <c r="F54" s="4">
        <v>403</v>
      </c>
      <c r="G54" s="3" t="s">
        <v>5</v>
      </c>
    </row>
    <row r="55" spans="1:7" ht="65.099999999999994" customHeight="1" x14ac:dyDescent="0.25">
      <c r="A55" s="3" t="s">
        <v>365</v>
      </c>
      <c r="B55" s="12" t="s">
        <v>399</v>
      </c>
      <c r="C55" s="4" t="s">
        <v>396</v>
      </c>
      <c r="D55" s="4" t="s">
        <v>333</v>
      </c>
      <c r="E55" s="4" t="s">
        <v>360</v>
      </c>
      <c r="F55" s="4" t="s">
        <v>883</v>
      </c>
      <c r="G55" s="3" t="s">
        <v>5</v>
      </c>
    </row>
    <row r="56" spans="1:7" ht="65.099999999999994" customHeight="1" x14ac:dyDescent="0.25">
      <c r="A56" s="3" t="s">
        <v>367</v>
      </c>
      <c r="B56" s="12" t="s">
        <v>400</v>
      </c>
      <c r="C56" s="4" t="s">
        <v>396</v>
      </c>
      <c r="D56" s="4" t="s">
        <v>334</v>
      </c>
      <c r="E56" s="4" t="s">
        <v>360</v>
      </c>
      <c r="F56" s="4" t="s">
        <v>883</v>
      </c>
      <c r="G56" s="3" t="s">
        <v>5</v>
      </c>
    </row>
    <row r="57" spans="1:7" ht="65.099999999999994" customHeight="1" x14ac:dyDescent="0.25">
      <c r="A57" s="3" t="s">
        <v>357</v>
      </c>
      <c r="B57" s="12" t="s">
        <v>401</v>
      </c>
      <c r="C57" s="4" t="s">
        <v>402</v>
      </c>
      <c r="D57" s="4" t="s">
        <v>330</v>
      </c>
      <c r="E57" s="4" t="s">
        <v>371</v>
      </c>
      <c r="F57" s="4">
        <v>401</v>
      </c>
      <c r="G57" s="3" t="s">
        <v>5</v>
      </c>
    </row>
    <row r="58" spans="1:7" ht="65.099999999999994" customHeight="1" x14ac:dyDescent="0.25">
      <c r="A58" s="3" t="s">
        <v>361</v>
      </c>
      <c r="B58" s="12" t="s">
        <v>403</v>
      </c>
      <c r="C58" s="4" t="s">
        <v>402</v>
      </c>
      <c r="D58" s="4" t="s">
        <v>331</v>
      </c>
      <c r="E58" s="4" t="s">
        <v>379</v>
      </c>
      <c r="F58" s="4">
        <v>403</v>
      </c>
      <c r="G58" s="3" t="s">
        <v>5</v>
      </c>
    </row>
    <row r="59" spans="1:7" ht="65.099999999999994" customHeight="1" x14ac:dyDescent="0.25">
      <c r="A59" s="3" t="s">
        <v>363</v>
      </c>
      <c r="B59" s="12" t="s">
        <v>404</v>
      </c>
      <c r="C59" s="4" t="s">
        <v>402</v>
      </c>
      <c r="D59" s="4" t="s">
        <v>332</v>
      </c>
      <c r="E59" s="4" t="s">
        <v>379</v>
      </c>
      <c r="F59" s="4">
        <v>403</v>
      </c>
      <c r="G59" s="3" t="s">
        <v>5</v>
      </c>
    </row>
    <row r="60" spans="1:7" ht="65.099999999999994" customHeight="1" x14ac:dyDescent="0.25">
      <c r="A60" s="3" t="s">
        <v>365</v>
      </c>
      <c r="B60" s="12" t="s">
        <v>405</v>
      </c>
      <c r="C60" s="4" t="s">
        <v>402</v>
      </c>
      <c r="D60" s="4" t="s">
        <v>333</v>
      </c>
      <c r="E60" s="4" t="s">
        <v>360</v>
      </c>
      <c r="F60" s="4" t="s">
        <v>883</v>
      </c>
      <c r="G60" s="3" t="s">
        <v>5</v>
      </c>
    </row>
    <row r="61" spans="1:7" ht="65.099999999999994" customHeight="1" x14ac:dyDescent="0.25">
      <c r="A61" s="3" t="s">
        <v>367</v>
      </c>
      <c r="B61" s="12" t="s">
        <v>406</v>
      </c>
      <c r="C61" s="4" t="s">
        <v>402</v>
      </c>
      <c r="D61" s="4" t="s">
        <v>334</v>
      </c>
      <c r="E61" s="4" t="s">
        <v>360</v>
      </c>
      <c r="F61" s="4" t="s">
        <v>883</v>
      </c>
      <c r="G61" s="3" t="s">
        <v>5</v>
      </c>
    </row>
    <row r="62" spans="1:7" ht="23.1" customHeight="1" x14ac:dyDescent="0.25">
      <c r="A62" s="3" t="s">
        <v>357</v>
      </c>
      <c r="B62" s="12" t="s">
        <v>407</v>
      </c>
      <c r="C62" s="4" t="s">
        <v>408</v>
      </c>
      <c r="D62" s="4" t="s">
        <v>330</v>
      </c>
      <c r="E62" s="4" t="s">
        <v>371</v>
      </c>
      <c r="F62" s="4">
        <v>401</v>
      </c>
      <c r="G62" s="3" t="s">
        <v>5</v>
      </c>
    </row>
    <row r="63" spans="1:7" ht="23.1" customHeight="1" x14ac:dyDescent="0.25">
      <c r="A63" s="3" t="s">
        <v>361</v>
      </c>
      <c r="B63" s="12" t="s">
        <v>409</v>
      </c>
      <c r="C63" s="4" t="s">
        <v>408</v>
      </c>
      <c r="D63" s="4" t="s">
        <v>331</v>
      </c>
      <c r="E63" s="4" t="s">
        <v>379</v>
      </c>
      <c r="F63" s="4">
        <v>403</v>
      </c>
      <c r="G63" s="3" t="s">
        <v>5</v>
      </c>
    </row>
    <row r="64" spans="1:7" ht="23.1" customHeight="1" x14ac:dyDescent="0.25">
      <c r="A64" s="3" t="s">
        <v>363</v>
      </c>
      <c r="B64" s="12" t="s">
        <v>410</v>
      </c>
      <c r="C64" s="4" t="s">
        <v>408</v>
      </c>
      <c r="D64" s="4" t="s">
        <v>332</v>
      </c>
      <c r="E64" s="4" t="s">
        <v>379</v>
      </c>
      <c r="F64" s="4">
        <v>403</v>
      </c>
      <c r="G64" s="3" t="s">
        <v>5</v>
      </c>
    </row>
    <row r="65" spans="1:7" ht="65.099999999999994" customHeight="1" x14ac:dyDescent="0.25">
      <c r="A65" s="3" t="s">
        <v>365</v>
      </c>
      <c r="B65" s="12" t="s">
        <v>411</v>
      </c>
      <c r="C65" s="4" t="s">
        <v>408</v>
      </c>
      <c r="D65" s="4" t="s">
        <v>333</v>
      </c>
      <c r="E65" s="4" t="s">
        <v>360</v>
      </c>
      <c r="F65" s="4" t="s">
        <v>883</v>
      </c>
      <c r="G65" s="3" t="s">
        <v>5</v>
      </c>
    </row>
    <row r="66" spans="1:7" ht="65.099999999999994" customHeight="1" x14ac:dyDescent="0.25">
      <c r="A66" s="3" t="s">
        <v>367</v>
      </c>
      <c r="B66" s="12" t="s">
        <v>412</v>
      </c>
      <c r="C66" s="4" t="s">
        <v>408</v>
      </c>
      <c r="D66" s="4" t="s">
        <v>334</v>
      </c>
      <c r="E66" s="4" t="s">
        <v>360</v>
      </c>
      <c r="F66" s="4" t="s">
        <v>883</v>
      </c>
      <c r="G66" s="3" t="s">
        <v>5</v>
      </c>
    </row>
    <row r="67" spans="1:7" ht="65.099999999999994" customHeight="1" x14ac:dyDescent="0.25">
      <c r="A67" s="3" t="s">
        <v>357</v>
      </c>
      <c r="B67" s="12" t="s">
        <v>413</v>
      </c>
      <c r="C67" s="4" t="s">
        <v>414</v>
      </c>
      <c r="D67" s="4" t="s">
        <v>330</v>
      </c>
      <c r="E67" s="4" t="s">
        <v>371</v>
      </c>
      <c r="F67" s="4">
        <v>401</v>
      </c>
      <c r="G67" s="3" t="s">
        <v>5</v>
      </c>
    </row>
    <row r="68" spans="1:7" ht="65.099999999999994" customHeight="1" x14ac:dyDescent="0.25">
      <c r="A68" s="3" t="s">
        <v>361</v>
      </c>
      <c r="B68" s="12" t="s">
        <v>415</v>
      </c>
      <c r="C68" s="4" t="s">
        <v>414</v>
      </c>
      <c r="D68" s="4" t="s">
        <v>331</v>
      </c>
      <c r="E68" s="4">
        <v>403</v>
      </c>
      <c r="F68" s="4">
        <v>403</v>
      </c>
      <c r="G68" s="3" t="s">
        <v>5</v>
      </c>
    </row>
    <row r="69" spans="1:7" ht="65.099999999999994" customHeight="1" x14ac:dyDescent="0.25">
      <c r="A69" s="3" t="s">
        <v>363</v>
      </c>
      <c r="B69" s="12" t="s">
        <v>416</v>
      </c>
      <c r="C69" s="4" t="s">
        <v>414</v>
      </c>
      <c r="D69" s="4" t="s">
        <v>332</v>
      </c>
      <c r="E69" s="4">
        <v>403</v>
      </c>
      <c r="F69" s="4">
        <v>403</v>
      </c>
      <c r="G69" s="3" t="s">
        <v>5</v>
      </c>
    </row>
    <row r="70" spans="1:7" ht="65.099999999999994" customHeight="1" x14ac:dyDescent="0.25">
      <c r="A70" s="3" t="s">
        <v>365</v>
      </c>
      <c r="B70" s="12" t="s">
        <v>417</v>
      </c>
      <c r="C70" s="4" t="s">
        <v>414</v>
      </c>
      <c r="D70" s="4" t="s">
        <v>333</v>
      </c>
      <c r="E70" s="4" t="s">
        <v>360</v>
      </c>
      <c r="F70" s="4" t="s">
        <v>883</v>
      </c>
      <c r="G70" s="3" t="s">
        <v>5</v>
      </c>
    </row>
    <row r="71" spans="1:7" ht="65.099999999999994" customHeight="1" x14ac:dyDescent="0.25">
      <c r="A71" s="3" t="s">
        <v>367</v>
      </c>
      <c r="B71" s="12" t="s">
        <v>418</v>
      </c>
      <c r="C71" s="4" t="s">
        <v>414</v>
      </c>
      <c r="D71" s="4" t="s">
        <v>334</v>
      </c>
      <c r="E71" s="4" t="s">
        <v>360</v>
      </c>
      <c r="F71" s="4" t="s">
        <v>883</v>
      </c>
      <c r="G71" s="3" t="s">
        <v>5</v>
      </c>
    </row>
    <row r="72" spans="1:7" ht="65.099999999999994" customHeight="1" x14ac:dyDescent="0.25">
      <c r="A72" s="3" t="s">
        <v>357</v>
      </c>
      <c r="B72" s="12" t="s">
        <v>419</v>
      </c>
      <c r="C72" s="4" t="s">
        <v>420</v>
      </c>
      <c r="D72" s="4" t="s">
        <v>330</v>
      </c>
      <c r="E72" s="4" t="s">
        <v>371</v>
      </c>
      <c r="F72" s="4">
        <v>401</v>
      </c>
      <c r="G72" s="3" t="s">
        <v>5</v>
      </c>
    </row>
    <row r="73" spans="1:7" ht="65.099999999999994" customHeight="1" x14ac:dyDescent="0.25">
      <c r="A73" s="3" t="s">
        <v>361</v>
      </c>
      <c r="B73" s="12" t="s">
        <v>421</v>
      </c>
      <c r="C73" s="4" t="s">
        <v>420</v>
      </c>
      <c r="D73" s="4" t="s">
        <v>331</v>
      </c>
      <c r="E73" s="4">
        <v>403</v>
      </c>
      <c r="F73" s="4">
        <v>403</v>
      </c>
      <c r="G73" s="3" t="s">
        <v>5</v>
      </c>
    </row>
    <row r="74" spans="1:7" ht="65.099999999999994" customHeight="1" x14ac:dyDescent="0.25">
      <c r="A74" s="3" t="s">
        <v>363</v>
      </c>
      <c r="B74" s="12" t="s">
        <v>422</v>
      </c>
      <c r="C74" s="4" t="s">
        <v>420</v>
      </c>
      <c r="D74" s="4" t="s">
        <v>332</v>
      </c>
      <c r="E74" s="4" t="s">
        <v>360</v>
      </c>
      <c r="F74" s="4" t="s">
        <v>883</v>
      </c>
      <c r="G74" s="3" t="s">
        <v>5</v>
      </c>
    </row>
    <row r="75" spans="1:7" ht="65.099999999999994" customHeight="1" x14ac:dyDescent="0.25">
      <c r="A75" s="3" t="s">
        <v>365</v>
      </c>
      <c r="B75" s="12" t="s">
        <v>423</v>
      </c>
      <c r="C75" s="4" t="s">
        <v>420</v>
      </c>
      <c r="D75" s="4" t="s">
        <v>333</v>
      </c>
      <c r="E75" s="4" t="s">
        <v>360</v>
      </c>
      <c r="F75" s="4" t="s">
        <v>883</v>
      </c>
      <c r="G75" s="3" t="s">
        <v>5</v>
      </c>
    </row>
    <row r="76" spans="1:7" ht="65.099999999999994" customHeight="1" x14ac:dyDescent="0.25">
      <c r="A76" s="3" t="s">
        <v>367</v>
      </c>
      <c r="B76" s="12" t="s">
        <v>424</v>
      </c>
      <c r="C76" s="4" t="s">
        <v>420</v>
      </c>
      <c r="D76" s="4" t="s">
        <v>334</v>
      </c>
      <c r="E76" s="4" t="s">
        <v>360</v>
      </c>
      <c r="F76" s="4" t="s">
        <v>883</v>
      </c>
      <c r="G76" s="3" t="s">
        <v>5</v>
      </c>
    </row>
  </sheetData>
  <mergeCells count="13">
    <mergeCell ref="A15:G15"/>
    <mergeCell ref="B19:E19"/>
    <mergeCell ref="B20:E20"/>
    <mergeCell ref="B25:B26"/>
    <mergeCell ref="C25:D25"/>
    <mergeCell ref="E25:E26"/>
    <mergeCell ref="G25:G26"/>
    <mergeCell ref="B23:G23"/>
    <mergeCell ref="A17:G17"/>
    <mergeCell ref="B22:G22"/>
    <mergeCell ref="F25:F26"/>
    <mergeCell ref="A25:A26"/>
    <mergeCell ref="B21:E21"/>
  </mergeCells>
  <conditionalFormatting sqref="G27:G76">
    <cfRule type="cellIs" dxfId="26" priority="1" operator="equal">
      <formula>"Pass"</formula>
    </cfRule>
    <cfRule type="cellIs" dxfId="25" priority="2" operator="equal">
      <formula>"Fail"</formula>
    </cfRule>
    <cfRule type="cellIs" dxfId="24" priority="3" operator="equal">
      <formula>"Block"</formula>
    </cfRule>
  </conditionalFormatting>
  <dataValidations count="1">
    <dataValidation type="list" allowBlank="1" sqref="G27:G76" xr:uid="{00000000-0002-0000-06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33"/>
  <sheetViews>
    <sheetView showGridLines="0" topLeftCell="A3" workbookViewId="0">
      <selection activeCell="H33" sqref="H33"/>
    </sheetView>
  </sheetViews>
  <sheetFormatPr defaultRowHeight="15" x14ac:dyDescent="0.25"/>
  <cols>
    <col min="1" max="1" width="22" customWidth="1"/>
    <col min="2" max="3" width="18" customWidth="1"/>
    <col min="4" max="4" width="46" customWidth="1"/>
    <col min="5" max="5" width="34.42578125" customWidth="1"/>
    <col min="6" max="6" width="17" customWidth="1"/>
    <col min="7" max="9" width="14" customWidth="1"/>
  </cols>
  <sheetData>
    <row r="1" spans="1:9" x14ac:dyDescent="0.25">
      <c r="A1" s="35" t="s">
        <v>183</v>
      </c>
      <c r="B1" s="36"/>
      <c r="C1" s="36"/>
      <c r="D1" s="36"/>
      <c r="E1" s="36"/>
      <c r="F1" s="36"/>
      <c r="G1" s="36"/>
      <c r="H1" s="36"/>
      <c r="I1" s="36"/>
    </row>
    <row r="2" spans="1:9" ht="21" x14ac:dyDescent="0.25">
      <c r="A2" s="13" t="s">
        <v>184</v>
      </c>
      <c r="E2" s="39" t="s">
        <v>185</v>
      </c>
      <c r="F2" s="40"/>
    </row>
    <row r="3" spans="1:9" ht="21" x14ac:dyDescent="0.25">
      <c r="A3" s="14" t="s">
        <v>186</v>
      </c>
      <c r="B3" s="41" t="s">
        <v>187</v>
      </c>
      <c r="C3" s="42"/>
      <c r="E3" s="14" t="s">
        <v>186</v>
      </c>
      <c r="F3" s="41" t="s">
        <v>187</v>
      </c>
      <c r="G3" s="42"/>
      <c r="H3" s="42"/>
      <c r="I3" s="42"/>
    </row>
    <row r="4" spans="1:9" ht="23.1" customHeight="1" x14ac:dyDescent="0.25">
      <c r="A4" s="15" t="s">
        <v>188</v>
      </c>
      <c r="B4" s="37" t="s">
        <v>425</v>
      </c>
      <c r="C4" s="38"/>
      <c r="E4" s="15" t="s">
        <v>190</v>
      </c>
      <c r="F4" s="37" t="s">
        <v>426</v>
      </c>
      <c r="G4" s="38"/>
      <c r="H4" s="38"/>
      <c r="I4" s="38"/>
    </row>
    <row r="5" spans="1:9" ht="23.1" customHeight="1" x14ac:dyDescent="0.25">
      <c r="E5" s="15" t="s">
        <v>194</v>
      </c>
      <c r="F5" s="37" t="s">
        <v>427</v>
      </c>
      <c r="G5" s="38"/>
      <c r="H5" s="38"/>
      <c r="I5" s="38"/>
    </row>
    <row r="6" spans="1:9" ht="23.1" customHeight="1" x14ac:dyDescent="0.25">
      <c r="E6" s="15" t="s">
        <v>198</v>
      </c>
      <c r="F6" s="37" t="s">
        <v>428</v>
      </c>
      <c r="G6" s="38"/>
      <c r="H6" s="38"/>
      <c r="I6" s="38"/>
    </row>
    <row r="7" spans="1:9" ht="23.1" customHeight="1" x14ac:dyDescent="0.25">
      <c r="E7" s="15" t="s">
        <v>269</v>
      </c>
      <c r="F7" s="37" t="s">
        <v>429</v>
      </c>
      <c r="G7" s="38"/>
      <c r="H7" s="38"/>
      <c r="I7" s="38"/>
    </row>
    <row r="8" spans="1:9" ht="23.1" customHeight="1" x14ac:dyDescent="0.25">
      <c r="E8" s="15" t="s">
        <v>271</v>
      </c>
      <c r="F8" s="37" t="s">
        <v>430</v>
      </c>
      <c r="G8" s="38"/>
      <c r="H8" s="38"/>
      <c r="I8" s="38"/>
    </row>
    <row r="9" spans="1:9" ht="23.1" customHeight="1" x14ac:dyDescent="0.25">
      <c r="E9" s="15" t="s">
        <v>273</v>
      </c>
      <c r="F9" s="37" t="s">
        <v>431</v>
      </c>
      <c r="G9" s="38"/>
      <c r="H9" s="38"/>
      <c r="I9" s="38"/>
    </row>
    <row r="10" spans="1:9" ht="23.1" customHeight="1" x14ac:dyDescent="0.25">
      <c r="E10" s="15" t="s">
        <v>275</v>
      </c>
      <c r="F10" s="37" t="s">
        <v>432</v>
      </c>
      <c r="G10" s="38"/>
      <c r="H10" s="38"/>
      <c r="I10" s="38"/>
    </row>
    <row r="11" spans="1:9" ht="23.1" customHeight="1" x14ac:dyDescent="0.25">
      <c r="E11" s="15" t="s">
        <v>277</v>
      </c>
      <c r="F11" s="37" t="s">
        <v>433</v>
      </c>
      <c r="G11" s="38"/>
      <c r="H11" s="38"/>
      <c r="I11" s="38"/>
    </row>
    <row r="12" spans="1:9" ht="23.1" customHeight="1" x14ac:dyDescent="0.25">
      <c r="E12" s="15" t="s">
        <v>434</v>
      </c>
      <c r="F12" s="37" t="s">
        <v>435</v>
      </c>
      <c r="G12" s="38"/>
      <c r="H12" s="38"/>
      <c r="I12" s="38"/>
    </row>
    <row r="14" spans="1:9" x14ac:dyDescent="0.25">
      <c r="A14" s="33" t="s">
        <v>90</v>
      </c>
      <c r="B14" s="30"/>
      <c r="C14" s="30"/>
      <c r="D14" s="30"/>
      <c r="E14" s="30"/>
      <c r="F14" s="30"/>
      <c r="G14" s="30"/>
      <c r="H14" s="30"/>
      <c r="I14" s="30"/>
    </row>
    <row r="16" spans="1:9" ht="23.1" customHeight="1" x14ac:dyDescent="0.25">
      <c r="A16" s="9" t="s">
        <v>100</v>
      </c>
      <c r="B16" s="34" t="s">
        <v>436</v>
      </c>
      <c r="C16" s="32"/>
      <c r="D16" s="32"/>
      <c r="E16" s="10"/>
      <c r="F16" s="10"/>
      <c r="G16" s="10"/>
      <c r="H16" s="9" t="s">
        <v>102</v>
      </c>
      <c r="I16" s="11" t="s">
        <v>867</v>
      </c>
    </row>
    <row r="17" spans="1:9" ht="23.1" customHeight="1" x14ac:dyDescent="0.25">
      <c r="A17" s="9" t="s">
        <v>108</v>
      </c>
      <c r="B17" s="34" t="s">
        <v>207</v>
      </c>
      <c r="C17" s="32"/>
      <c r="D17" s="32"/>
      <c r="E17" s="10"/>
      <c r="F17" s="10"/>
      <c r="G17" s="10"/>
      <c r="H17" s="9" t="s">
        <v>110</v>
      </c>
      <c r="I17" s="11" t="s">
        <v>868</v>
      </c>
    </row>
    <row r="18" spans="1:9" ht="43.5" customHeight="1" x14ac:dyDescent="0.25">
      <c r="A18" s="9" t="s">
        <v>116</v>
      </c>
      <c r="B18" s="34" t="s">
        <v>869</v>
      </c>
      <c r="C18" s="32"/>
      <c r="D18" s="32"/>
      <c r="E18" s="10"/>
      <c r="F18" s="10"/>
      <c r="G18" s="10"/>
      <c r="H18" s="9" t="s">
        <v>117</v>
      </c>
      <c r="I18" s="20">
        <v>46305</v>
      </c>
    </row>
    <row r="19" spans="1:9" ht="23.1" customHeight="1" x14ac:dyDescent="0.25">
      <c r="A19" s="9" t="s">
        <v>118</v>
      </c>
      <c r="B19" s="34" t="s">
        <v>43</v>
      </c>
      <c r="C19" s="32"/>
      <c r="D19" s="32"/>
      <c r="E19" s="32"/>
      <c r="F19" s="32"/>
      <c r="G19" s="32"/>
      <c r="H19" s="32"/>
      <c r="I19" s="32"/>
    </row>
    <row r="20" spans="1:9" ht="23.1" customHeight="1" x14ac:dyDescent="0.25">
      <c r="A20" s="9" t="s">
        <v>119</v>
      </c>
      <c r="B20" s="34" t="s">
        <v>437</v>
      </c>
      <c r="C20" s="32"/>
      <c r="D20" s="32"/>
      <c r="E20" s="32"/>
      <c r="F20" s="32"/>
      <c r="G20" s="32"/>
      <c r="H20" s="32"/>
      <c r="I20" s="32"/>
    </row>
    <row r="22" spans="1:9" ht="24" customHeight="1" x14ac:dyDescent="0.25">
      <c r="A22" s="31" t="s">
        <v>121</v>
      </c>
      <c r="B22" s="31" t="s">
        <v>122</v>
      </c>
      <c r="C22" s="32"/>
      <c r="D22" s="31" t="s">
        <v>123</v>
      </c>
      <c r="E22" s="31" t="s">
        <v>124</v>
      </c>
      <c r="F22" s="31" t="s">
        <v>125</v>
      </c>
    </row>
    <row r="23" spans="1:9" ht="65.099999999999994" customHeight="1" x14ac:dyDescent="0.25">
      <c r="A23" s="32"/>
      <c r="B23" s="5" t="s">
        <v>438</v>
      </c>
      <c r="C23" s="5" t="s">
        <v>282</v>
      </c>
      <c r="D23" s="32"/>
      <c r="E23" s="32"/>
      <c r="F23" s="32"/>
    </row>
    <row r="24" spans="1:9" ht="65.099999999999994" customHeight="1" x14ac:dyDescent="0.25">
      <c r="A24" s="12" t="s">
        <v>439</v>
      </c>
      <c r="B24" s="4" t="s">
        <v>440</v>
      </c>
      <c r="C24" s="4" t="s">
        <v>441</v>
      </c>
      <c r="D24" s="4" t="s">
        <v>442</v>
      </c>
      <c r="E24" s="4" t="s">
        <v>885</v>
      </c>
      <c r="F24" s="3" t="s">
        <v>5</v>
      </c>
    </row>
    <row r="25" spans="1:9" ht="65.099999999999994" customHeight="1" x14ac:dyDescent="0.25">
      <c r="A25" s="12" t="s">
        <v>443</v>
      </c>
      <c r="B25" s="4" t="s">
        <v>440</v>
      </c>
      <c r="C25" s="4" t="s">
        <v>444</v>
      </c>
      <c r="D25" s="4" t="s">
        <v>445</v>
      </c>
      <c r="E25" s="4" t="s">
        <v>886</v>
      </c>
      <c r="F25" s="3" t="s">
        <v>5</v>
      </c>
    </row>
    <row r="26" spans="1:9" ht="107.1" customHeight="1" x14ac:dyDescent="0.25">
      <c r="A26" s="12" t="s">
        <v>446</v>
      </c>
      <c r="B26" s="4" t="s">
        <v>447</v>
      </c>
      <c r="C26" s="4" t="s">
        <v>448</v>
      </c>
      <c r="D26" s="4" t="s">
        <v>449</v>
      </c>
      <c r="E26" s="4">
        <v>400</v>
      </c>
      <c r="F26" s="3" t="s">
        <v>5</v>
      </c>
    </row>
    <row r="27" spans="1:9" ht="86.1" customHeight="1" x14ac:dyDescent="0.25">
      <c r="A27" s="12" t="s">
        <v>450</v>
      </c>
      <c r="B27" s="4" t="s">
        <v>451</v>
      </c>
      <c r="C27" s="4" t="s">
        <v>452</v>
      </c>
      <c r="D27" s="4" t="s">
        <v>453</v>
      </c>
      <c r="E27" s="4">
        <v>400</v>
      </c>
      <c r="F27" s="3" t="s">
        <v>5</v>
      </c>
    </row>
    <row r="28" spans="1:9" ht="65.099999999999994" customHeight="1" x14ac:dyDescent="0.25">
      <c r="A28" s="12" t="s">
        <v>454</v>
      </c>
      <c r="B28" s="4" t="s">
        <v>440</v>
      </c>
      <c r="C28" s="4" t="s">
        <v>455</v>
      </c>
      <c r="D28" s="4" t="s">
        <v>456</v>
      </c>
      <c r="E28" s="4">
        <v>404</v>
      </c>
      <c r="F28" s="3" t="s">
        <v>5</v>
      </c>
    </row>
    <row r="29" spans="1:9" ht="86.1" customHeight="1" x14ac:dyDescent="0.25">
      <c r="A29" s="12" t="s">
        <v>457</v>
      </c>
      <c r="B29" s="4" t="s">
        <v>440</v>
      </c>
      <c r="C29" s="4" t="s">
        <v>458</v>
      </c>
      <c r="D29" s="4" t="s">
        <v>459</v>
      </c>
      <c r="E29" s="4">
        <v>400</v>
      </c>
      <c r="F29" s="3" t="s">
        <v>5</v>
      </c>
    </row>
    <row r="30" spans="1:9" ht="86.1" customHeight="1" x14ac:dyDescent="0.25">
      <c r="A30" s="12" t="s">
        <v>460</v>
      </c>
      <c r="B30" s="4" t="s">
        <v>447</v>
      </c>
      <c r="C30" s="4" t="s">
        <v>461</v>
      </c>
      <c r="D30" s="4" t="s">
        <v>887</v>
      </c>
      <c r="E30" s="4">
        <v>400</v>
      </c>
      <c r="F30" s="3" t="s">
        <v>5</v>
      </c>
    </row>
    <row r="31" spans="1:9" ht="86.1" customHeight="1" x14ac:dyDescent="0.25">
      <c r="A31" s="12" t="s">
        <v>462</v>
      </c>
      <c r="B31" s="4" t="s">
        <v>447</v>
      </c>
      <c r="C31" s="4" t="s">
        <v>463</v>
      </c>
      <c r="D31" s="4" t="s">
        <v>887</v>
      </c>
      <c r="E31" s="4">
        <v>400</v>
      </c>
      <c r="F31" s="3" t="s">
        <v>5</v>
      </c>
    </row>
    <row r="32" spans="1:9" ht="23.1" customHeight="1" x14ac:dyDescent="0.25">
      <c r="A32" s="12" t="s">
        <v>464</v>
      </c>
      <c r="B32" s="4" t="s">
        <v>440</v>
      </c>
      <c r="C32" s="4" t="s">
        <v>465</v>
      </c>
      <c r="D32" s="4" t="s">
        <v>466</v>
      </c>
      <c r="E32" s="4">
        <v>404</v>
      </c>
      <c r="F32" s="3" t="s">
        <v>5</v>
      </c>
    </row>
    <row r="33" spans="1:6" ht="86.1" customHeight="1" x14ac:dyDescent="0.25">
      <c r="A33" s="12" t="s">
        <v>467</v>
      </c>
      <c r="B33" s="4" t="s">
        <v>447</v>
      </c>
      <c r="C33" s="4" t="s">
        <v>468</v>
      </c>
      <c r="D33" s="4" t="s">
        <v>469</v>
      </c>
      <c r="E33" s="4">
        <v>409</v>
      </c>
      <c r="F33" s="3" t="s">
        <v>5</v>
      </c>
    </row>
  </sheetData>
  <mergeCells count="25">
    <mergeCell ref="B20:I20"/>
    <mergeCell ref="F4:I4"/>
    <mergeCell ref="A14:I14"/>
    <mergeCell ref="F11:I11"/>
    <mergeCell ref="B22:C22"/>
    <mergeCell ref="F22:F23"/>
    <mergeCell ref="F10:I10"/>
    <mergeCell ref="F6:I6"/>
    <mergeCell ref="F7:I7"/>
    <mergeCell ref="A1:I1"/>
    <mergeCell ref="B18:D18"/>
    <mergeCell ref="D22:D23"/>
    <mergeCell ref="B4:C4"/>
    <mergeCell ref="E2:F2"/>
    <mergeCell ref="F3:I3"/>
    <mergeCell ref="F12:I12"/>
    <mergeCell ref="A22:A23"/>
    <mergeCell ref="B19:I19"/>
    <mergeCell ref="F5:I5"/>
    <mergeCell ref="B16:D16"/>
    <mergeCell ref="F8:I8"/>
    <mergeCell ref="F9:I9"/>
    <mergeCell ref="B3:C3"/>
    <mergeCell ref="B17:D17"/>
    <mergeCell ref="E22:E23"/>
  </mergeCells>
  <conditionalFormatting sqref="F24:F33">
    <cfRule type="cellIs" dxfId="23" priority="1" operator="equal">
      <formula>"Pass"</formula>
    </cfRule>
    <cfRule type="cellIs" dxfId="22" priority="2" operator="equal">
      <formula>"Fail"</formula>
    </cfRule>
    <cfRule type="cellIs" dxfId="21" priority="3" operator="equal">
      <formula>"Block"</formula>
    </cfRule>
  </conditionalFormatting>
  <dataValidations count="1">
    <dataValidation type="list" allowBlank="1" sqref="F24:F33" xr:uid="{00000000-0002-0000-07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39"/>
  <sheetViews>
    <sheetView showGridLines="0" topLeftCell="A6" workbookViewId="0">
      <selection activeCell="I39" sqref="I39"/>
    </sheetView>
  </sheetViews>
  <sheetFormatPr defaultRowHeight="15" x14ac:dyDescent="0.25"/>
  <cols>
    <col min="1" max="1" width="34" customWidth="1"/>
    <col min="2" max="2" width="16" customWidth="1"/>
    <col min="3" max="4" width="26" customWidth="1"/>
    <col min="5" max="5" width="42" customWidth="1"/>
    <col min="6" max="6" width="18" customWidth="1"/>
    <col min="7" max="7" width="17" customWidth="1"/>
  </cols>
  <sheetData>
    <row r="1" spans="1:7" ht="21" x14ac:dyDescent="0.25">
      <c r="A1" s="16" t="s">
        <v>187</v>
      </c>
      <c r="B1" s="17" t="s">
        <v>324</v>
      </c>
      <c r="C1" s="17" t="s">
        <v>325</v>
      </c>
      <c r="D1" s="17" t="s">
        <v>326</v>
      </c>
      <c r="E1" s="17" t="s">
        <v>327</v>
      </c>
      <c r="F1" s="17" t="s">
        <v>328</v>
      </c>
      <c r="G1" s="17" t="s">
        <v>470</v>
      </c>
    </row>
    <row r="2" spans="1:7" ht="65.099999999999994" customHeight="1" x14ac:dyDescent="0.25">
      <c r="A2" s="4" t="s">
        <v>471</v>
      </c>
      <c r="B2" s="3" t="s">
        <v>472</v>
      </c>
      <c r="C2" s="3" t="s">
        <v>472</v>
      </c>
      <c r="D2" s="3" t="s">
        <v>473</v>
      </c>
      <c r="E2" s="3" t="s">
        <v>472</v>
      </c>
      <c r="F2" s="3" t="s">
        <v>472</v>
      </c>
      <c r="G2" s="3" t="s">
        <v>472</v>
      </c>
    </row>
    <row r="3" spans="1:7" ht="65.099999999999994" customHeight="1" x14ac:dyDescent="0.25">
      <c r="A3" s="4" t="s">
        <v>474</v>
      </c>
      <c r="B3" s="3" t="s">
        <v>472</v>
      </c>
      <c r="C3" s="3" t="s">
        <v>472</v>
      </c>
      <c r="D3" s="3" t="s">
        <v>284</v>
      </c>
      <c r="E3" s="3" t="s">
        <v>473</v>
      </c>
      <c r="F3" s="3" t="s">
        <v>472</v>
      </c>
      <c r="G3" s="3" t="s">
        <v>284</v>
      </c>
    </row>
    <row r="4" spans="1:7" ht="23.1" customHeight="1" x14ac:dyDescent="0.25">
      <c r="A4" s="4" t="s">
        <v>475</v>
      </c>
      <c r="B4" s="3" t="s">
        <v>472</v>
      </c>
      <c r="C4" s="3" t="s">
        <v>472</v>
      </c>
      <c r="D4" s="3" t="s">
        <v>284</v>
      </c>
      <c r="E4" s="3" t="s">
        <v>284</v>
      </c>
      <c r="F4" s="3" t="s">
        <v>473</v>
      </c>
      <c r="G4" s="3" t="s">
        <v>284</v>
      </c>
    </row>
    <row r="5" spans="1:7" ht="23.1" customHeight="1" x14ac:dyDescent="0.25">
      <c r="A5" s="4" t="s">
        <v>476</v>
      </c>
      <c r="B5" s="3" t="s">
        <v>473</v>
      </c>
      <c r="C5" s="3" t="s">
        <v>472</v>
      </c>
      <c r="D5" s="3" t="s">
        <v>284</v>
      </c>
      <c r="E5" s="3" t="s">
        <v>284</v>
      </c>
      <c r="F5" s="3" t="s">
        <v>284</v>
      </c>
      <c r="G5" s="3" t="s">
        <v>284</v>
      </c>
    </row>
    <row r="6" spans="1:7" ht="23.1" customHeight="1" x14ac:dyDescent="0.25">
      <c r="A6" s="4" t="s">
        <v>477</v>
      </c>
      <c r="B6" s="3" t="s">
        <v>284</v>
      </c>
      <c r="C6" s="3" t="s">
        <v>284</v>
      </c>
      <c r="D6" s="3" t="s">
        <v>284</v>
      </c>
      <c r="E6" s="3" t="s">
        <v>284</v>
      </c>
      <c r="F6" s="3" t="s">
        <v>284</v>
      </c>
      <c r="G6" s="3" t="s">
        <v>473</v>
      </c>
    </row>
    <row r="7" spans="1:7" ht="21" x14ac:dyDescent="0.25">
      <c r="A7" s="16" t="s">
        <v>335</v>
      </c>
      <c r="B7" s="18"/>
      <c r="C7" s="18"/>
      <c r="D7" s="18"/>
      <c r="E7" s="18"/>
      <c r="F7" s="18"/>
      <c r="G7" s="18"/>
    </row>
    <row r="8" spans="1:7" ht="23.1" customHeight="1" x14ac:dyDescent="0.25">
      <c r="A8" s="4" t="s">
        <v>478</v>
      </c>
      <c r="B8" s="3" t="s">
        <v>479</v>
      </c>
      <c r="C8" s="3"/>
      <c r="D8" s="3"/>
      <c r="E8" s="3"/>
      <c r="F8" s="3"/>
      <c r="G8" s="3"/>
    </row>
    <row r="9" spans="1:7" ht="23.1" customHeight="1" x14ac:dyDescent="0.25">
      <c r="A9" s="4" t="s">
        <v>480</v>
      </c>
      <c r="B9" s="3"/>
      <c r="C9" s="3" t="s">
        <v>479</v>
      </c>
      <c r="D9" s="3"/>
      <c r="E9" s="3"/>
      <c r="F9" s="3"/>
      <c r="G9" s="3"/>
    </row>
    <row r="10" spans="1:7" ht="23.1" customHeight="1" x14ac:dyDescent="0.25">
      <c r="A10" s="4" t="s">
        <v>481</v>
      </c>
      <c r="B10" s="3"/>
      <c r="C10" s="3"/>
      <c r="D10" s="3" t="s">
        <v>479</v>
      </c>
      <c r="E10" s="3" t="s">
        <v>479</v>
      </c>
      <c r="F10" s="3"/>
      <c r="G10" s="3" t="s">
        <v>479</v>
      </c>
    </row>
    <row r="11" spans="1:7" ht="23.1" customHeight="1" x14ac:dyDescent="0.25">
      <c r="A11" s="4" t="s">
        <v>482</v>
      </c>
      <c r="B11" s="3"/>
      <c r="C11" s="3"/>
      <c r="D11" s="3"/>
      <c r="E11" s="3"/>
      <c r="F11" s="3" t="s">
        <v>479</v>
      </c>
      <c r="G11" s="3"/>
    </row>
    <row r="12" spans="1:7" ht="21" x14ac:dyDescent="0.25">
      <c r="A12" s="4" t="s">
        <v>350</v>
      </c>
      <c r="B12" s="3"/>
      <c r="C12" s="3"/>
      <c r="D12" s="3"/>
      <c r="E12" s="3"/>
      <c r="F12" s="3"/>
      <c r="G12" s="3"/>
    </row>
    <row r="13" spans="1:7" ht="23.1" customHeight="1" x14ac:dyDescent="0.25">
      <c r="A13" s="22" t="s">
        <v>483</v>
      </c>
      <c r="B13" s="23"/>
      <c r="C13" s="23"/>
      <c r="D13" s="23"/>
      <c r="E13" s="23"/>
      <c r="F13" s="23"/>
      <c r="G13" s="23"/>
    </row>
    <row r="15" spans="1:7" x14ac:dyDescent="0.25">
      <c r="A15" s="33" t="s">
        <v>90</v>
      </c>
      <c r="B15" s="30"/>
      <c r="C15" s="30"/>
      <c r="D15" s="30"/>
      <c r="E15" s="30"/>
      <c r="F15" s="30"/>
      <c r="G15" s="30"/>
    </row>
    <row r="17" spans="1:7" ht="23.1" customHeight="1" x14ac:dyDescent="0.25">
      <c r="A17" s="9" t="s">
        <v>100</v>
      </c>
      <c r="B17" s="34" t="s">
        <v>484</v>
      </c>
      <c r="C17" s="32"/>
      <c r="D17" s="32"/>
      <c r="E17" s="32"/>
      <c r="F17" s="9" t="s">
        <v>102</v>
      </c>
      <c r="G17" s="11" t="s">
        <v>867</v>
      </c>
    </row>
    <row r="18" spans="1:7" ht="23.1" customHeight="1" x14ac:dyDescent="0.25">
      <c r="A18" s="9" t="s">
        <v>108</v>
      </c>
      <c r="B18" s="34" t="s">
        <v>485</v>
      </c>
      <c r="C18" s="32"/>
      <c r="D18" s="32"/>
      <c r="E18" s="32"/>
      <c r="F18" s="9" t="s">
        <v>110</v>
      </c>
      <c r="G18" s="11" t="s">
        <v>868</v>
      </c>
    </row>
    <row r="19" spans="1:7" ht="52.5" customHeight="1" x14ac:dyDescent="0.25">
      <c r="A19" s="9" t="s">
        <v>116</v>
      </c>
      <c r="B19" s="34" t="s">
        <v>869</v>
      </c>
      <c r="C19" s="32"/>
      <c r="D19" s="32"/>
      <c r="E19" s="32"/>
      <c r="F19" s="9" t="s">
        <v>117</v>
      </c>
      <c r="G19" s="20">
        <v>46305</v>
      </c>
    </row>
    <row r="20" spans="1:7" ht="23.1" customHeight="1" x14ac:dyDescent="0.25">
      <c r="A20" s="9" t="s">
        <v>118</v>
      </c>
      <c r="B20" s="34" t="s">
        <v>44</v>
      </c>
      <c r="C20" s="32"/>
      <c r="D20" s="32"/>
      <c r="E20" s="32"/>
      <c r="F20" s="32"/>
      <c r="G20" s="32"/>
    </row>
    <row r="21" spans="1:7" ht="23.1" customHeight="1" x14ac:dyDescent="0.25">
      <c r="A21" s="9" t="s">
        <v>119</v>
      </c>
      <c r="B21" s="34" t="s">
        <v>486</v>
      </c>
      <c r="C21" s="32"/>
      <c r="D21" s="32"/>
      <c r="E21" s="32"/>
      <c r="F21" s="32"/>
      <c r="G21" s="32"/>
    </row>
    <row r="23" spans="1:7" ht="24" customHeight="1" x14ac:dyDescent="0.25">
      <c r="A23" s="31" t="s">
        <v>354</v>
      </c>
      <c r="B23" s="31" t="s">
        <v>121</v>
      </c>
      <c r="C23" s="31" t="s">
        <v>122</v>
      </c>
      <c r="D23" s="32"/>
      <c r="E23" s="31" t="s">
        <v>123</v>
      </c>
      <c r="F23" s="31" t="s">
        <v>124</v>
      </c>
      <c r="G23" s="31" t="s">
        <v>125</v>
      </c>
    </row>
    <row r="24" spans="1:7" ht="65.099999999999994" customHeight="1" x14ac:dyDescent="0.25">
      <c r="A24" s="32"/>
      <c r="B24" s="32"/>
      <c r="C24" s="5" t="s">
        <v>487</v>
      </c>
      <c r="D24" s="5" t="s">
        <v>282</v>
      </c>
      <c r="E24" s="32"/>
      <c r="F24" s="32"/>
      <c r="G24" s="32"/>
    </row>
    <row r="25" spans="1:7" ht="86.1" customHeight="1" x14ac:dyDescent="0.25">
      <c r="A25" s="3" t="s">
        <v>357</v>
      </c>
      <c r="B25" s="12" t="s">
        <v>488</v>
      </c>
      <c r="C25" s="4" t="s">
        <v>489</v>
      </c>
      <c r="D25" s="4" t="s">
        <v>490</v>
      </c>
      <c r="E25" s="4" t="s">
        <v>491</v>
      </c>
      <c r="F25" s="4" t="s">
        <v>512</v>
      </c>
      <c r="G25" s="3" t="s">
        <v>5</v>
      </c>
    </row>
    <row r="26" spans="1:7" ht="65.099999999999994" customHeight="1" x14ac:dyDescent="0.25">
      <c r="A26" s="3" t="s">
        <v>361</v>
      </c>
      <c r="B26" s="12" t="s">
        <v>492</v>
      </c>
      <c r="C26" s="4" t="s">
        <v>489</v>
      </c>
      <c r="D26" s="4" t="s">
        <v>493</v>
      </c>
      <c r="E26" s="4" t="s">
        <v>494</v>
      </c>
      <c r="F26" s="4" t="s">
        <v>512</v>
      </c>
      <c r="G26" s="3" t="s">
        <v>5</v>
      </c>
    </row>
    <row r="27" spans="1:7" ht="65.099999999999994" customHeight="1" x14ac:dyDescent="0.25">
      <c r="A27" s="3" t="s">
        <v>357</v>
      </c>
      <c r="B27" s="12" t="s">
        <v>495</v>
      </c>
      <c r="C27" s="4" t="s">
        <v>489</v>
      </c>
      <c r="D27" s="4" t="s">
        <v>496</v>
      </c>
      <c r="E27" s="4" t="s">
        <v>497</v>
      </c>
      <c r="F27" s="4" t="s">
        <v>512</v>
      </c>
      <c r="G27" s="3" t="s">
        <v>5</v>
      </c>
    </row>
    <row r="28" spans="1:7" ht="65.099999999999994" customHeight="1" x14ac:dyDescent="0.25">
      <c r="A28" s="3" t="s">
        <v>363</v>
      </c>
      <c r="B28" s="12" t="s">
        <v>498</v>
      </c>
      <c r="C28" s="4" t="s">
        <v>499</v>
      </c>
      <c r="D28" s="4" t="s">
        <v>500</v>
      </c>
      <c r="E28" s="4" t="s">
        <v>501</v>
      </c>
      <c r="F28" s="4">
        <v>409</v>
      </c>
      <c r="G28" s="3" t="s">
        <v>5</v>
      </c>
    </row>
    <row r="29" spans="1:7" ht="65.099999999999994" customHeight="1" x14ac:dyDescent="0.25">
      <c r="A29" s="3" t="s">
        <v>357</v>
      </c>
      <c r="B29" s="12" t="s">
        <v>502</v>
      </c>
      <c r="C29" s="4" t="s">
        <v>503</v>
      </c>
      <c r="D29" s="4" t="s">
        <v>504</v>
      </c>
      <c r="E29" s="4" t="s">
        <v>505</v>
      </c>
      <c r="F29" s="4" t="s">
        <v>512</v>
      </c>
      <c r="G29" s="3" t="s">
        <v>5</v>
      </c>
    </row>
    <row r="30" spans="1:7" ht="65.099999999999994" customHeight="1" x14ac:dyDescent="0.25">
      <c r="A30" s="3" t="s">
        <v>365</v>
      </c>
      <c r="B30" s="12" t="s">
        <v>506</v>
      </c>
      <c r="C30" s="4" t="s">
        <v>507</v>
      </c>
      <c r="D30" s="4" t="s">
        <v>508</v>
      </c>
      <c r="E30" s="4" t="s">
        <v>509</v>
      </c>
      <c r="F30" s="4">
        <v>409</v>
      </c>
      <c r="G30" s="3" t="s">
        <v>5</v>
      </c>
    </row>
    <row r="31" spans="1:7" ht="65.099999999999994" customHeight="1" x14ac:dyDescent="0.25">
      <c r="A31" s="3" t="s">
        <v>357</v>
      </c>
      <c r="B31" s="12" t="s">
        <v>510</v>
      </c>
      <c r="C31" s="4" t="s">
        <v>507</v>
      </c>
      <c r="D31" s="4" t="s">
        <v>511</v>
      </c>
      <c r="E31" s="4" t="s">
        <v>512</v>
      </c>
      <c r="F31" s="4" t="s">
        <v>512</v>
      </c>
      <c r="G31" s="3" t="s">
        <v>5</v>
      </c>
    </row>
    <row r="32" spans="1:7" ht="65.099999999999994" customHeight="1" x14ac:dyDescent="0.25">
      <c r="A32" s="3" t="s">
        <v>357</v>
      </c>
      <c r="B32" s="12" t="s">
        <v>513</v>
      </c>
      <c r="C32" s="4" t="s">
        <v>514</v>
      </c>
      <c r="D32" s="4" t="s">
        <v>515</v>
      </c>
      <c r="E32" s="4" t="s">
        <v>516</v>
      </c>
      <c r="F32" s="4" t="s">
        <v>512</v>
      </c>
      <c r="G32" s="3" t="s">
        <v>5</v>
      </c>
    </row>
    <row r="33" spans="1:7" ht="65.099999999999994" customHeight="1" x14ac:dyDescent="0.25">
      <c r="A33" s="3" t="s">
        <v>363</v>
      </c>
      <c r="B33" s="12" t="s">
        <v>517</v>
      </c>
      <c r="C33" s="4" t="s">
        <v>518</v>
      </c>
      <c r="D33" s="4" t="s">
        <v>515</v>
      </c>
      <c r="E33" s="4" t="s">
        <v>519</v>
      </c>
      <c r="F33" s="4">
        <v>409</v>
      </c>
      <c r="G33" s="3" t="s">
        <v>5</v>
      </c>
    </row>
    <row r="34" spans="1:7" ht="65.099999999999994" customHeight="1" x14ac:dyDescent="0.25">
      <c r="A34" s="3" t="s">
        <v>367</v>
      </c>
      <c r="B34" s="12" t="s">
        <v>520</v>
      </c>
      <c r="C34" s="4" t="s">
        <v>489</v>
      </c>
      <c r="D34" s="4" t="s">
        <v>521</v>
      </c>
      <c r="E34" s="4" t="s">
        <v>522</v>
      </c>
      <c r="F34" s="4">
        <v>400</v>
      </c>
      <c r="G34" s="3" t="s">
        <v>5</v>
      </c>
    </row>
    <row r="35" spans="1:7" ht="65.099999999999994" customHeight="1" x14ac:dyDescent="0.25">
      <c r="A35" s="3" t="s">
        <v>367</v>
      </c>
      <c r="B35" s="12" t="s">
        <v>523</v>
      </c>
      <c r="C35" s="4" t="s">
        <v>489</v>
      </c>
      <c r="D35" s="4" t="s">
        <v>524</v>
      </c>
      <c r="E35" s="4" t="s">
        <v>525</v>
      </c>
      <c r="F35" s="4">
        <v>400</v>
      </c>
      <c r="G35" s="3" t="s">
        <v>5</v>
      </c>
    </row>
    <row r="36" spans="1:7" ht="65.099999999999994" customHeight="1" x14ac:dyDescent="0.25">
      <c r="A36" s="3" t="s">
        <v>526</v>
      </c>
      <c r="B36" s="12" t="s">
        <v>527</v>
      </c>
      <c r="C36" s="4" t="s">
        <v>528</v>
      </c>
      <c r="D36" s="4" t="s">
        <v>529</v>
      </c>
      <c r="E36" s="4" t="s">
        <v>530</v>
      </c>
      <c r="F36" s="4">
        <v>409</v>
      </c>
      <c r="G36" s="3" t="s">
        <v>5</v>
      </c>
    </row>
    <row r="37" spans="1:7" ht="23.1" customHeight="1" x14ac:dyDescent="0.25">
      <c r="A37" s="3" t="s">
        <v>357</v>
      </c>
      <c r="B37" s="12" t="s">
        <v>531</v>
      </c>
      <c r="C37" s="4" t="s">
        <v>532</v>
      </c>
      <c r="D37" s="4" t="s">
        <v>533</v>
      </c>
      <c r="E37" s="4" t="s">
        <v>534</v>
      </c>
      <c r="F37" s="4">
        <v>200</v>
      </c>
      <c r="G37" s="3" t="s">
        <v>5</v>
      </c>
    </row>
    <row r="38" spans="1:7" ht="65.099999999999994" customHeight="1" x14ac:dyDescent="0.25">
      <c r="A38" s="3" t="s">
        <v>357</v>
      </c>
      <c r="B38" s="12" t="s">
        <v>535</v>
      </c>
      <c r="C38" s="4" t="s">
        <v>536</v>
      </c>
      <c r="D38" s="4" t="s">
        <v>537</v>
      </c>
      <c r="E38" s="4" t="s">
        <v>538</v>
      </c>
      <c r="F38" s="4">
        <v>403</v>
      </c>
      <c r="G38" s="3" t="s">
        <v>5</v>
      </c>
    </row>
    <row r="39" spans="1:7" ht="65.099999999999994" customHeight="1" x14ac:dyDescent="0.25">
      <c r="A39" s="3" t="s">
        <v>357</v>
      </c>
      <c r="B39" s="12" t="s">
        <v>539</v>
      </c>
      <c r="C39" s="4" t="s">
        <v>540</v>
      </c>
      <c r="D39" s="4" t="s">
        <v>541</v>
      </c>
      <c r="E39" s="4" t="s">
        <v>542</v>
      </c>
      <c r="F39" s="4" t="s">
        <v>542</v>
      </c>
      <c r="G39" s="3" t="s">
        <v>5</v>
      </c>
    </row>
  </sheetData>
  <mergeCells count="13">
    <mergeCell ref="A13:G13"/>
    <mergeCell ref="B17:E17"/>
    <mergeCell ref="B18:E18"/>
    <mergeCell ref="B20:G20"/>
    <mergeCell ref="A23:A24"/>
    <mergeCell ref="C23:D23"/>
    <mergeCell ref="G23:G24"/>
    <mergeCell ref="B21:G21"/>
    <mergeCell ref="A15:G15"/>
    <mergeCell ref="B19:E19"/>
    <mergeCell ref="E23:E24"/>
    <mergeCell ref="B23:B24"/>
    <mergeCell ref="F23:F24"/>
  </mergeCells>
  <conditionalFormatting sqref="G25:G39">
    <cfRule type="cellIs" dxfId="20" priority="1" operator="equal">
      <formula>"Pass"</formula>
    </cfRule>
    <cfRule type="cellIs" dxfId="19" priority="2" operator="equal">
      <formula>"Fail"</formula>
    </cfRule>
    <cfRule type="cellIs" dxfId="18" priority="3" operator="equal">
      <formula>"Block"</formula>
    </cfRule>
  </conditionalFormatting>
  <dataValidations count="1">
    <dataValidation type="list" allowBlank="1" sqref="G25:G39" xr:uid="{00000000-0002-0000-08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20"/>
  <sheetViews>
    <sheetView showGridLines="0" topLeftCell="A12" workbookViewId="0">
      <selection activeCell="E11" sqref="E11:E20"/>
    </sheetView>
  </sheetViews>
  <sheetFormatPr defaultRowHeight="15" x14ac:dyDescent="0.25"/>
  <cols>
    <col min="1" max="1" width="22" customWidth="1"/>
    <col min="2" max="3" width="26" customWidth="1"/>
    <col min="4" max="4" width="42" customWidth="1"/>
    <col min="5" max="5" width="34.42578125" customWidth="1"/>
    <col min="6" max="6" width="17" customWidth="1"/>
    <col min="9" max="9" width="10" customWidth="1"/>
    <col min="10" max="12" width="20" customWidth="1"/>
  </cols>
  <sheetData>
    <row r="1" spans="1:12" ht="65.099999999999994" customHeight="1" x14ac:dyDescent="0.25">
      <c r="A1" s="33" t="s">
        <v>90</v>
      </c>
      <c r="B1" s="30"/>
      <c r="C1" s="30"/>
      <c r="D1" s="30"/>
      <c r="E1" s="30"/>
      <c r="F1" s="30"/>
      <c r="I1" s="4"/>
      <c r="J1" s="5" t="s">
        <v>543</v>
      </c>
      <c r="K1" s="5" t="s">
        <v>544</v>
      </c>
      <c r="L1" s="5" t="s">
        <v>545</v>
      </c>
    </row>
    <row r="2" spans="1:12" ht="21" x14ac:dyDescent="0.25">
      <c r="I2" s="3" t="s">
        <v>546</v>
      </c>
      <c r="J2" s="3" t="s">
        <v>547</v>
      </c>
      <c r="K2" s="3" t="s">
        <v>547</v>
      </c>
      <c r="L2" s="3" t="s">
        <v>548</v>
      </c>
    </row>
    <row r="3" spans="1:12" ht="65.099999999999994" customHeight="1" x14ac:dyDescent="0.25">
      <c r="A3" s="9" t="s">
        <v>100</v>
      </c>
      <c r="B3" s="34" t="s">
        <v>549</v>
      </c>
      <c r="C3" s="32"/>
      <c r="D3" s="32"/>
      <c r="E3" s="9" t="s">
        <v>102</v>
      </c>
      <c r="F3" s="11" t="s">
        <v>867</v>
      </c>
      <c r="I3" s="3" t="s">
        <v>550</v>
      </c>
      <c r="J3" s="3" t="s">
        <v>551</v>
      </c>
      <c r="K3" s="3" t="s">
        <v>552</v>
      </c>
      <c r="L3" s="3" t="s">
        <v>284</v>
      </c>
    </row>
    <row r="4" spans="1:12" ht="23.1" customHeight="1" x14ac:dyDescent="0.25">
      <c r="A4" s="9" t="s">
        <v>108</v>
      </c>
      <c r="B4" s="34" t="s">
        <v>553</v>
      </c>
      <c r="C4" s="32"/>
      <c r="D4" s="32"/>
      <c r="E4" s="9" t="s">
        <v>110</v>
      </c>
      <c r="F4" s="11" t="s">
        <v>868</v>
      </c>
      <c r="I4" s="3" t="s">
        <v>554</v>
      </c>
      <c r="J4" s="3" t="s">
        <v>555</v>
      </c>
      <c r="K4" s="3" t="s">
        <v>556</v>
      </c>
      <c r="L4" s="3" t="s">
        <v>557</v>
      </c>
    </row>
    <row r="5" spans="1:12" ht="47.25" customHeight="1" x14ac:dyDescent="0.25">
      <c r="A5" s="9" t="s">
        <v>116</v>
      </c>
      <c r="B5" s="34" t="s">
        <v>869</v>
      </c>
      <c r="C5" s="32"/>
      <c r="D5" s="32"/>
      <c r="E5" s="9" t="s">
        <v>117</v>
      </c>
      <c r="F5" s="20">
        <v>46305</v>
      </c>
    </row>
    <row r="6" spans="1:12" ht="23.1" customHeight="1" x14ac:dyDescent="0.25">
      <c r="A6" s="9" t="s">
        <v>118</v>
      </c>
      <c r="B6" s="34" t="s">
        <v>45</v>
      </c>
      <c r="C6" s="32"/>
      <c r="D6" s="32"/>
      <c r="E6" s="32"/>
      <c r="F6" s="32"/>
    </row>
    <row r="7" spans="1:12" ht="23.1" customHeight="1" x14ac:dyDescent="0.25">
      <c r="A7" s="9" t="s">
        <v>119</v>
      </c>
      <c r="B7" s="34" t="s">
        <v>558</v>
      </c>
      <c r="C7" s="32"/>
      <c r="D7" s="32"/>
      <c r="E7" s="32"/>
      <c r="F7" s="32"/>
    </row>
    <row r="9" spans="1:12" ht="24" customHeight="1" x14ac:dyDescent="0.25">
      <c r="A9" s="31" t="s">
        <v>121</v>
      </c>
      <c r="B9" s="31" t="s">
        <v>122</v>
      </c>
      <c r="C9" s="32"/>
      <c r="D9" s="31" t="s">
        <v>123</v>
      </c>
      <c r="E9" s="31" t="s">
        <v>124</v>
      </c>
      <c r="F9" s="31" t="s">
        <v>125</v>
      </c>
    </row>
    <row r="10" spans="1:12" ht="65.099999999999994" customHeight="1" x14ac:dyDescent="0.25">
      <c r="A10" s="32"/>
      <c r="B10" s="5" t="s">
        <v>559</v>
      </c>
      <c r="C10" s="5" t="s">
        <v>282</v>
      </c>
      <c r="D10" s="32"/>
      <c r="E10" s="32"/>
      <c r="F10" s="32"/>
    </row>
    <row r="11" spans="1:12" ht="65.099999999999994" customHeight="1" x14ac:dyDescent="0.25">
      <c r="A11" s="12" t="s">
        <v>560</v>
      </c>
      <c r="B11" s="4" t="s">
        <v>561</v>
      </c>
      <c r="C11" s="4" t="s">
        <v>562</v>
      </c>
      <c r="D11" s="4" t="s">
        <v>563</v>
      </c>
      <c r="E11" s="4" t="s">
        <v>563</v>
      </c>
      <c r="F11" s="3" t="s">
        <v>5</v>
      </c>
    </row>
    <row r="12" spans="1:12" ht="65.099999999999994" customHeight="1" x14ac:dyDescent="0.25">
      <c r="A12" s="12" t="s">
        <v>564</v>
      </c>
      <c r="B12" s="4" t="s">
        <v>565</v>
      </c>
      <c r="C12" s="4" t="s">
        <v>566</v>
      </c>
      <c r="D12" s="4" t="s">
        <v>567</v>
      </c>
      <c r="E12" s="4" t="s">
        <v>567</v>
      </c>
      <c r="F12" s="3" t="s">
        <v>5</v>
      </c>
    </row>
    <row r="13" spans="1:12" ht="65.099999999999994" customHeight="1" x14ac:dyDescent="0.25">
      <c r="A13" s="12" t="s">
        <v>568</v>
      </c>
      <c r="B13" s="4" t="s">
        <v>569</v>
      </c>
      <c r="C13" s="4" t="s">
        <v>566</v>
      </c>
      <c r="D13" s="4" t="s">
        <v>570</v>
      </c>
      <c r="E13" s="4" t="s">
        <v>570</v>
      </c>
      <c r="F13" s="3" t="s">
        <v>5</v>
      </c>
    </row>
    <row r="14" spans="1:12" ht="65.099999999999994" customHeight="1" x14ac:dyDescent="0.25">
      <c r="A14" s="12" t="s">
        <v>571</v>
      </c>
      <c r="B14" s="4" t="s">
        <v>569</v>
      </c>
      <c r="C14" s="4" t="s">
        <v>566</v>
      </c>
      <c r="D14" s="4" t="s">
        <v>572</v>
      </c>
      <c r="E14" s="4" t="s">
        <v>572</v>
      </c>
      <c r="F14" s="3" t="s">
        <v>5</v>
      </c>
    </row>
    <row r="15" spans="1:12" ht="65.099999999999994" customHeight="1" x14ac:dyDescent="0.25">
      <c r="A15" s="12" t="s">
        <v>573</v>
      </c>
      <c r="B15" s="4" t="s">
        <v>574</v>
      </c>
      <c r="C15" s="4" t="s">
        <v>566</v>
      </c>
      <c r="D15" s="4" t="s">
        <v>575</v>
      </c>
      <c r="E15" s="4" t="s">
        <v>575</v>
      </c>
      <c r="F15" s="3" t="s">
        <v>5</v>
      </c>
    </row>
    <row r="16" spans="1:12" ht="65.099999999999994" customHeight="1" x14ac:dyDescent="0.25">
      <c r="A16" s="12" t="s">
        <v>576</v>
      </c>
      <c r="B16" s="4" t="s">
        <v>577</v>
      </c>
      <c r="C16" s="4" t="s">
        <v>566</v>
      </c>
      <c r="D16" s="4" t="s">
        <v>578</v>
      </c>
      <c r="E16" s="4" t="s">
        <v>578</v>
      </c>
      <c r="F16" s="3" t="s">
        <v>5</v>
      </c>
    </row>
    <row r="17" spans="1:6" ht="65.099999999999994" customHeight="1" x14ac:dyDescent="0.25">
      <c r="A17" s="12" t="s">
        <v>579</v>
      </c>
      <c r="B17" s="4" t="s">
        <v>580</v>
      </c>
      <c r="C17" s="4" t="s">
        <v>566</v>
      </c>
      <c r="D17" s="4" t="s">
        <v>581</v>
      </c>
      <c r="E17" s="4" t="s">
        <v>581</v>
      </c>
      <c r="F17" s="3" t="s">
        <v>5</v>
      </c>
    </row>
    <row r="18" spans="1:6" ht="65.099999999999994" customHeight="1" x14ac:dyDescent="0.25">
      <c r="A18" s="12" t="s">
        <v>582</v>
      </c>
      <c r="B18" s="4" t="s">
        <v>583</v>
      </c>
      <c r="C18" s="4" t="s">
        <v>566</v>
      </c>
      <c r="D18" s="4" t="s">
        <v>584</v>
      </c>
      <c r="E18" s="4" t="s">
        <v>584</v>
      </c>
      <c r="F18" s="3" t="s">
        <v>5</v>
      </c>
    </row>
    <row r="19" spans="1:6" ht="23.1" customHeight="1" x14ac:dyDescent="0.25">
      <c r="A19" s="12" t="s">
        <v>585</v>
      </c>
      <c r="B19" s="4" t="s">
        <v>561</v>
      </c>
      <c r="C19" s="4" t="s">
        <v>586</v>
      </c>
      <c r="D19" s="4" t="s">
        <v>587</v>
      </c>
      <c r="E19" s="4" t="s">
        <v>587</v>
      </c>
      <c r="F19" s="3" t="s">
        <v>5</v>
      </c>
    </row>
    <row r="20" spans="1:6" ht="65.099999999999994" customHeight="1" x14ac:dyDescent="0.25">
      <c r="A20" s="12" t="s">
        <v>588</v>
      </c>
      <c r="B20" s="4" t="s">
        <v>284</v>
      </c>
      <c r="C20" s="4" t="s">
        <v>589</v>
      </c>
      <c r="D20" s="4" t="s">
        <v>590</v>
      </c>
      <c r="E20" s="4" t="s">
        <v>590</v>
      </c>
      <c r="F20" s="3" t="s">
        <v>5</v>
      </c>
    </row>
  </sheetData>
  <mergeCells count="11">
    <mergeCell ref="A1:F1"/>
    <mergeCell ref="B4:D4"/>
    <mergeCell ref="B9:C9"/>
    <mergeCell ref="B7:F7"/>
    <mergeCell ref="A9:A10"/>
    <mergeCell ref="E9:E10"/>
    <mergeCell ref="B3:D3"/>
    <mergeCell ref="B5:D5"/>
    <mergeCell ref="B6:F6"/>
    <mergeCell ref="D9:D10"/>
    <mergeCell ref="F9:F10"/>
  </mergeCells>
  <conditionalFormatting sqref="F11:F20">
    <cfRule type="cellIs" dxfId="17" priority="1" operator="equal">
      <formula>"Pass"</formula>
    </cfRule>
    <cfRule type="cellIs" dxfId="16" priority="2" operator="equal">
      <formula>"Fail"</formula>
    </cfRule>
    <cfRule type="cellIs" dxfId="15" priority="3" operator="equal">
      <formula>"Block"</formula>
    </cfRule>
  </conditionalFormatting>
  <dataValidations count="1">
    <dataValidation type="list" allowBlank="1" sqref="F11:F20" xr:uid="{00000000-0002-0000-09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30"/>
  <sheetViews>
    <sheetView showGridLines="0" tabSelected="1" topLeftCell="A12" workbookViewId="0">
      <selection activeCell="I25" sqref="I25"/>
    </sheetView>
  </sheetViews>
  <sheetFormatPr defaultRowHeight="15" x14ac:dyDescent="0.25"/>
  <cols>
    <col min="1" max="1" width="34" customWidth="1"/>
    <col min="2" max="2" width="16" customWidth="1"/>
    <col min="3" max="4" width="26" customWidth="1"/>
    <col min="5" max="5" width="42" customWidth="1"/>
    <col min="6" max="6" width="18" customWidth="1"/>
    <col min="7" max="7" width="17" customWidth="1"/>
  </cols>
  <sheetData>
    <row r="1" spans="1:7" ht="21" x14ac:dyDescent="0.25">
      <c r="A1" s="16" t="s">
        <v>187</v>
      </c>
      <c r="B1" s="17" t="s">
        <v>324</v>
      </c>
      <c r="C1" s="17" t="s">
        <v>325</v>
      </c>
      <c r="D1" s="17" t="s">
        <v>326</v>
      </c>
      <c r="E1" s="17" t="s">
        <v>327</v>
      </c>
      <c r="F1" s="17" t="s">
        <v>328</v>
      </c>
    </row>
    <row r="2" spans="1:7" ht="23.1" customHeight="1" x14ac:dyDescent="0.25">
      <c r="A2" s="4" t="s">
        <v>591</v>
      </c>
      <c r="B2" s="3" t="s">
        <v>473</v>
      </c>
      <c r="C2" s="3" t="s">
        <v>473</v>
      </c>
      <c r="D2" s="3" t="s">
        <v>473</v>
      </c>
      <c r="E2" s="3" t="s">
        <v>472</v>
      </c>
      <c r="F2" s="3" t="s">
        <v>472</v>
      </c>
    </row>
    <row r="3" spans="1:7" ht="23.1" customHeight="1" x14ac:dyDescent="0.25">
      <c r="A3" s="4" t="s">
        <v>592</v>
      </c>
      <c r="B3" s="3" t="s">
        <v>472</v>
      </c>
      <c r="C3" s="3" t="s">
        <v>472</v>
      </c>
      <c r="D3" s="3" t="s">
        <v>473</v>
      </c>
      <c r="E3" s="3" t="s">
        <v>284</v>
      </c>
      <c r="F3" s="3" t="s">
        <v>284</v>
      </c>
    </row>
    <row r="4" spans="1:7" ht="23.1" customHeight="1" x14ac:dyDescent="0.25">
      <c r="A4" s="4" t="s">
        <v>593</v>
      </c>
      <c r="B4" s="3" t="s">
        <v>472</v>
      </c>
      <c r="C4" s="3" t="s">
        <v>473</v>
      </c>
      <c r="D4" s="3" t="s">
        <v>284</v>
      </c>
      <c r="E4" s="3" t="s">
        <v>284</v>
      </c>
      <c r="F4" s="3" t="s">
        <v>284</v>
      </c>
    </row>
    <row r="5" spans="1:7" ht="65.099999999999994" customHeight="1" x14ac:dyDescent="0.25">
      <c r="A5" s="4" t="s">
        <v>594</v>
      </c>
      <c r="B5" s="3" t="s">
        <v>472</v>
      </c>
      <c r="C5" s="3" t="s">
        <v>284</v>
      </c>
      <c r="D5" s="3" t="s">
        <v>284</v>
      </c>
      <c r="E5" s="3" t="s">
        <v>472</v>
      </c>
      <c r="F5" s="3" t="s">
        <v>473</v>
      </c>
    </row>
    <row r="6" spans="1:7" ht="21" x14ac:dyDescent="0.25">
      <c r="A6" s="16" t="s">
        <v>335</v>
      </c>
      <c r="B6" s="18"/>
      <c r="C6" s="18"/>
      <c r="D6" s="18"/>
      <c r="E6" s="18"/>
      <c r="F6" s="18"/>
    </row>
    <row r="7" spans="1:7" ht="23.1" customHeight="1" x14ac:dyDescent="0.25">
      <c r="A7" s="4" t="s">
        <v>595</v>
      </c>
      <c r="B7" s="3" t="s">
        <v>479</v>
      </c>
      <c r="C7" s="3"/>
      <c r="D7" s="3"/>
      <c r="E7" s="3" t="s">
        <v>479</v>
      </c>
      <c r="F7" s="3"/>
    </row>
    <row r="8" spans="1:7" ht="23.1" customHeight="1" x14ac:dyDescent="0.25">
      <c r="A8" s="4" t="s">
        <v>596</v>
      </c>
      <c r="B8" s="3"/>
      <c r="C8" s="3" t="s">
        <v>479</v>
      </c>
      <c r="D8" s="3"/>
      <c r="E8" s="3"/>
      <c r="F8" s="3"/>
    </row>
    <row r="9" spans="1:7" ht="23.1" customHeight="1" x14ac:dyDescent="0.25">
      <c r="A9" s="4" t="s">
        <v>597</v>
      </c>
      <c r="B9" s="3"/>
      <c r="C9" s="3"/>
      <c r="D9" s="3" t="s">
        <v>479</v>
      </c>
      <c r="E9" s="3"/>
      <c r="F9" s="3"/>
    </row>
    <row r="10" spans="1:7" ht="23.1" customHeight="1" x14ac:dyDescent="0.25">
      <c r="A10" s="4" t="s">
        <v>598</v>
      </c>
      <c r="B10" s="3"/>
      <c r="C10" s="3"/>
      <c r="D10" s="3"/>
      <c r="E10" s="3"/>
      <c r="F10" s="3" t="s">
        <v>479</v>
      </c>
    </row>
    <row r="11" spans="1:7" ht="21" x14ac:dyDescent="0.25">
      <c r="A11" s="4" t="s">
        <v>350</v>
      </c>
      <c r="B11" s="3"/>
      <c r="C11" s="3"/>
      <c r="D11" s="3"/>
      <c r="E11" s="3"/>
      <c r="F11" s="3"/>
    </row>
    <row r="13" spans="1:7" x14ac:dyDescent="0.25">
      <c r="A13" s="33" t="s">
        <v>90</v>
      </c>
      <c r="B13" s="30"/>
      <c r="C13" s="30"/>
      <c r="D13" s="30"/>
      <c r="E13" s="30"/>
      <c r="F13" s="30"/>
      <c r="G13" s="30"/>
    </row>
    <row r="15" spans="1:7" ht="23.1" customHeight="1" x14ac:dyDescent="0.25">
      <c r="A15" s="9" t="s">
        <v>100</v>
      </c>
      <c r="B15" s="34" t="s">
        <v>599</v>
      </c>
      <c r="C15" s="32"/>
      <c r="D15" s="32"/>
      <c r="E15" s="32"/>
      <c r="F15" s="9" t="s">
        <v>102</v>
      </c>
      <c r="G15" s="11" t="s">
        <v>867</v>
      </c>
    </row>
    <row r="16" spans="1:7" ht="23.1" customHeight="1" x14ac:dyDescent="0.25">
      <c r="A16" s="9" t="s">
        <v>108</v>
      </c>
      <c r="B16" s="34" t="s">
        <v>485</v>
      </c>
      <c r="C16" s="32"/>
      <c r="D16" s="32"/>
      <c r="E16" s="32"/>
      <c r="F16" s="9" t="s">
        <v>110</v>
      </c>
      <c r="G16" s="11" t="s">
        <v>868</v>
      </c>
    </row>
    <row r="17" spans="1:7" ht="48" customHeight="1" x14ac:dyDescent="0.25">
      <c r="A17" s="9" t="s">
        <v>116</v>
      </c>
      <c r="B17" s="34" t="s">
        <v>869</v>
      </c>
      <c r="C17" s="32"/>
      <c r="D17" s="32"/>
      <c r="E17" s="32"/>
      <c r="F17" s="9" t="s">
        <v>117</v>
      </c>
      <c r="G17" s="20">
        <v>46305</v>
      </c>
    </row>
    <row r="18" spans="1:7" ht="23.1" customHeight="1" x14ac:dyDescent="0.25">
      <c r="A18" s="9" t="s">
        <v>118</v>
      </c>
      <c r="B18" s="34" t="s">
        <v>46</v>
      </c>
      <c r="C18" s="32"/>
      <c r="D18" s="32"/>
      <c r="E18" s="32"/>
      <c r="F18" s="32"/>
      <c r="G18" s="32"/>
    </row>
    <row r="19" spans="1:7" ht="23.1" customHeight="1" x14ac:dyDescent="0.25">
      <c r="A19" s="9" t="s">
        <v>119</v>
      </c>
      <c r="B19" s="34" t="s">
        <v>600</v>
      </c>
      <c r="C19" s="32"/>
      <c r="D19" s="32"/>
      <c r="E19" s="32"/>
      <c r="F19" s="32"/>
      <c r="G19" s="32"/>
    </row>
    <row r="21" spans="1:7" ht="24" customHeight="1" x14ac:dyDescent="0.25">
      <c r="A21" s="31" t="s">
        <v>354</v>
      </c>
      <c r="B21" s="31" t="s">
        <v>121</v>
      </c>
      <c r="C21" s="31" t="s">
        <v>122</v>
      </c>
      <c r="D21" s="32"/>
      <c r="E21" s="31" t="s">
        <v>123</v>
      </c>
      <c r="F21" s="31" t="s">
        <v>124</v>
      </c>
      <c r="G21" s="31" t="s">
        <v>125</v>
      </c>
    </row>
    <row r="22" spans="1:7" ht="65.099999999999994" customHeight="1" x14ac:dyDescent="0.25">
      <c r="A22" s="32"/>
      <c r="B22" s="32"/>
      <c r="C22" s="5" t="s">
        <v>601</v>
      </c>
      <c r="D22" s="5" t="s">
        <v>602</v>
      </c>
      <c r="E22" s="32"/>
      <c r="F22" s="32"/>
      <c r="G22" s="32"/>
    </row>
    <row r="23" spans="1:7" ht="86.1" customHeight="1" x14ac:dyDescent="0.25">
      <c r="A23" s="3" t="s">
        <v>357</v>
      </c>
      <c r="B23" s="12" t="s">
        <v>603</v>
      </c>
      <c r="C23" s="4" t="s">
        <v>604</v>
      </c>
      <c r="D23" s="4" t="s">
        <v>605</v>
      </c>
      <c r="E23" s="4" t="s">
        <v>606</v>
      </c>
      <c r="F23" s="4">
        <v>200</v>
      </c>
      <c r="G23" s="3" t="s">
        <v>5</v>
      </c>
    </row>
    <row r="24" spans="1:7" ht="23.1" customHeight="1" x14ac:dyDescent="0.25">
      <c r="A24" s="3" t="s">
        <v>361</v>
      </c>
      <c r="B24" s="12" t="s">
        <v>607</v>
      </c>
      <c r="C24" s="4" t="s">
        <v>608</v>
      </c>
      <c r="D24" s="4" t="s">
        <v>440</v>
      </c>
      <c r="E24" s="4" t="s">
        <v>609</v>
      </c>
      <c r="F24" s="4">
        <v>400</v>
      </c>
      <c r="G24" s="3" t="s">
        <v>5</v>
      </c>
    </row>
    <row r="25" spans="1:7" ht="65.099999999999994" customHeight="1" x14ac:dyDescent="0.25">
      <c r="A25" s="3" t="s">
        <v>357</v>
      </c>
      <c r="B25" s="12" t="s">
        <v>610</v>
      </c>
      <c r="C25" s="4" t="s">
        <v>611</v>
      </c>
      <c r="D25" s="4" t="s">
        <v>440</v>
      </c>
      <c r="E25" s="4" t="s">
        <v>612</v>
      </c>
      <c r="F25" s="4">
        <v>200</v>
      </c>
      <c r="G25" s="3" t="s">
        <v>5</v>
      </c>
    </row>
    <row r="26" spans="1:7" ht="23.1" customHeight="1" x14ac:dyDescent="0.25">
      <c r="A26" s="3" t="s">
        <v>363</v>
      </c>
      <c r="B26" s="12" t="s">
        <v>613</v>
      </c>
      <c r="C26" s="4" t="s">
        <v>614</v>
      </c>
      <c r="D26" s="4" t="s">
        <v>440</v>
      </c>
      <c r="E26" s="4" t="s">
        <v>615</v>
      </c>
      <c r="F26" s="4">
        <v>403</v>
      </c>
      <c r="G26" s="3" t="s">
        <v>5</v>
      </c>
    </row>
    <row r="27" spans="1:7" ht="65.099999999999994" customHeight="1" x14ac:dyDescent="0.25">
      <c r="A27" s="3" t="s">
        <v>365</v>
      </c>
      <c r="B27" s="12" t="s">
        <v>616</v>
      </c>
      <c r="C27" s="4" t="s">
        <v>617</v>
      </c>
      <c r="D27" s="4" t="s">
        <v>618</v>
      </c>
      <c r="E27" s="4" t="s">
        <v>619</v>
      </c>
      <c r="F27" s="4">
        <v>200</v>
      </c>
      <c r="G27" s="3" t="s">
        <v>5</v>
      </c>
    </row>
    <row r="28" spans="1:7" ht="23.1" customHeight="1" x14ac:dyDescent="0.25">
      <c r="A28" s="3" t="s">
        <v>367</v>
      </c>
      <c r="B28" s="12" t="s">
        <v>620</v>
      </c>
      <c r="C28" s="4" t="s">
        <v>621</v>
      </c>
      <c r="D28" s="4" t="s">
        <v>447</v>
      </c>
      <c r="E28" s="4" t="s">
        <v>622</v>
      </c>
      <c r="F28" s="4">
        <v>400</v>
      </c>
      <c r="G28" s="3" t="s">
        <v>5</v>
      </c>
    </row>
    <row r="29" spans="1:7" ht="65.099999999999994" customHeight="1" x14ac:dyDescent="0.25">
      <c r="A29" s="3" t="s">
        <v>357</v>
      </c>
      <c r="B29" s="12" t="s">
        <v>623</v>
      </c>
      <c r="C29" s="4" t="s">
        <v>624</v>
      </c>
      <c r="D29" s="4" t="s">
        <v>625</v>
      </c>
      <c r="E29" s="4" t="s">
        <v>626</v>
      </c>
      <c r="F29" s="4">
        <v>200</v>
      </c>
      <c r="G29" s="3" t="s">
        <v>5</v>
      </c>
    </row>
    <row r="30" spans="1:7" ht="86.1" customHeight="1" x14ac:dyDescent="0.25">
      <c r="A30" s="3" t="s">
        <v>357</v>
      </c>
      <c r="B30" s="12" t="s">
        <v>627</v>
      </c>
      <c r="C30" s="4" t="s">
        <v>628</v>
      </c>
      <c r="D30" s="4" t="s">
        <v>440</v>
      </c>
      <c r="E30" s="4" t="s">
        <v>888</v>
      </c>
      <c r="F30" s="4">
        <v>200</v>
      </c>
      <c r="G30" s="3" t="s">
        <v>5</v>
      </c>
    </row>
  </sheetData>
  <mergeCells count="12">
    <mergeCell ref="A13:G13"/>
    <mergeCell ref="B17:E17"/>
    <mergeCell ref="B19:G19"/>
    <mergeCell ref="G21:G22"/>
    <mergeCell ref="A21:A22"/>
    <mergeCell ref="B21:B22"/>
    <mergeCell ref="F21:F22"/>
    <mergeCell ref="B16:E16"/>
    <mergeCell ref="E21:E22"/>
    <mergeCell ref="B15:E15"/>
    <mergeCell ref="B18:G18"/>
    <mergeCell ref="C21:D21"/>
  </mergeCells>
  <conditionalFormatting sqref="G23:G30">
    <cfRule type="cellIs" dxfId="14" priority="1" operator="equal">
      <formula>"Pass"</formula>
    </cfRule>
    <cfRule type="cellIs" dxfId="13" priority="2" operator="equal">
      <formula>"Fail"</formula>
    </cfRule>
    <cfRule type="cellIs" dxfId="12" priority="3" operator="equal">
      <formula>"Block"</formula>
    </cfRule>
  </conditionalFormatting>
  <dataValidations count="1">
    <dataValidation type="list" allowBlank="1" sqref="G23:G30" xr:uid="{00000000-0002-0000-0A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35"/>
  <sheetViews>
    <sheetView showGridLines="0" topLeftCell="A29" workbookViewId="0">
      <selection activeCell="H34" sqref="H34"/>
    </sheetView>
  </sheetViews>
  <sheetFormatPr defaultRowHeight="15" x14ac:dyDescent="0.25"/>
  <cols>
    <col min="1" max="1" width="22" customWidth="1"/>
    <col min="2" max="3" width="24" customWidth="1"/>
    <col min="4" max="4" width="44" customWidth="1"/>
    <col min="5" max="5" width="35.85546875" customWidth="1"/>
    <col min="6" max="6" width="17" customWidth="1"/>
    <col min="7" max="9" width="14" customWidth="1"/>
  </cols>
  <sheetData>
    <row r="1" spans="1:9" x14ac:dyDescent="0.25">
      <c r="A1" s="35" t="s">
        <v>183</v>
      </c>
      <c r="B1" s="36"/>
      <c r="C1" s="36"/>
      <c r="D1" s="36"/>
      <c r="E1" s="36"/>
      <c r="F1" s="36"/>
      <c r="G1" s="36"/>
      <c r="H1" s="36"/>
      <c r="I1" s="36"/>
    </row>
    <row r="2" spans="1:9" ht="21" x14ac:dyDescent="0.25">
      <c r="A2" s="13" t="s">
        <v>184</v>
      </c>
      <c r="E2" s="39" t="s">
        <v>185</v>
      </c>
      <c r="F2" s="40"/>
    </row>
    <row r="3" spans="1:9" ht="21" x14ac:dyDescent="0.25">
      <c r="A3" s="14" t="s">
        <v>186</v>
      </c>
      <c r="B3" s="41" t="s">
        <v>187</v>
      </c>
      <c r="C3" s="42"/>
      <c r="E3" s="14" t="s">
        <v>186</v>
      </c>
      <c r="F3" s="41" t="s">
        <v>187</v>
      </c>
      <c r="G3" s="42"/>
      <c r="H3" s="42"/>
      <c r="I3" s="42"/>
    </row>
    <row r="4" spans="1:9" ht="23.1" customHeight="1" x14ac:dyDescent="0.25">
      <c r="A4" s="15" t="s">
        <v>188</v>
      </c>
      <c r="B4" s="37" t="s">
        <v>629</v>
      </c>
      <c r="C4" s="38"/>
      <c r="E4" s="15" t="s">
        <v>190</v>
      </c>
      <c r="F4" s="37" t="s">
        <v>630</v>
      </c>
      <c r="G4" s="38"/>
      <c r="H4" s="38"/>
      <c r="I4" s="38"/>
    </row>
    <row r="5" spans="1:9" ht="23.1" customHeight="1" x14ac:dyDescent="0.25">
      <c r="A5" s="15" t="s">
        <v>192</v>
      </c>
      <c r="B5" s="37" t="s">
        <v>631</v>
      </c>
      <c r="C5" s="38"/>
      <c r="E5" s="15" t="s">
        <v>194</v>
      </c>
      <c r="F5" s="37" t="s">
        <v>632</v>
      </c>
      <c r="G5" s="38"/>
      <c r="H5" s="38"/>
      <c r="I5" s="38"/>
    </row>
    <row r="6" spans="1:9" ht="23.1" customHeight="1" x14ac:dyDescent="0.25">
      <c r="A6" s="15" t="s">
        <v>196</v>
      </c>
      <c r="B6" s="37" t="s">
        <v>633</v>
      </c>
      <c r="C6" s="38"/>
      <c r="E6" s="15" t="s">
        <v>198</v>
      </c>
      <c r="F6" s="37" t="s">
        <v>634</v>
      </c>
      <c r="G6" s="38"/>
      <c r="H6" s="38"/>
      <c r="I6" s="38"/>
    </row>
    <row r="7" spans="1:9" ht="23.1" customHeight="1" x14ac:dyDescent="0.25">
      <c r="A7" s="15" t="s">
        <v>200</v>
      </c>
      <c r="B7" s="37" t="s">
        <v>635</v>
      </c>
      <c r="C7" s="38"/>
      <c r="E7" s="15" t="s">
        <v>269</v>
      </c>
      <c r="F7" s="37" t="s">
        <v>636</v>
      </c>
      <c r="G7" s="38"/>
      <c r="H7" s="38"/>
      <c r="I7" s="38"/>
    </row>
    <row r="8" spans="1:9" ht="23.1" customHeight="1" x14ac:dyDescent="0.25">
      <c r="A8" s="15" t="s">
        <v>202</v>
      </c>
      <c r="B8" s="37" t="s">
        <v>637</v>
      </c>
      <c r="C8" s="38"/>
      <c r="E8" s="15" t="s">
        <v>271</v>
      </c>
      <c r="F8" s="37" t="s">
        <v>638</v>
      </c>
      <c r="G8" s="38"/>
      <c r="H8" s="38"/>
      <c r="I8" s="38"/>
    </row>
    <row r="9" spans="1:9" ht="23.1" customHeight="1" x14ac:dyDescent="0.25">
      <c r="A9" s="15" t="s">
        <v>204</v>
      </c>
      <c r="B9" s="37" t="s">
        <v>639</v>
      </c>
      <c r="C9" s="38"/>
      <c r="E9" s="15" t="s">
        <v>273</v>
      </c>
      <c r="F9" s="37" t="s">
        <v>640</v>
      </c>
      <c r="G9" s="38"/>
      <c r="H9" s="38"/>
      <c r="I9" s="38"/>
    </row>
    <row r="11" spans="1:9" x14ac:dyDescent="0.25">
      <c r="A11" s="33" t="s">
        <v>90</v>
      </c>
      <c r="B11" s="30"/>
      <c r="C11" s="30"/>
      <c r="D11" s="30"/>
      <c r="E11" s="30"/>
      <c r="F11" s="30"/>
      <c r="G11" s="30"/>
      <c r="H11" s="30"/>
      <c r="I11" s="30"/>
    </row>
    <row r="13" spans="1:9" ht="23.1" customHeight="1" x14ac:dyDescent="0.25">
      <c r="A13" s="9" t="s">
        <v>100</v>
      </c>
      <c r="B13" s="34" t="s">
        <v>641</v>
      </c>
      <c r="C13" s="32"/>
      <c r="D13" s="32"/>
      <c r="E13" s="10"/>
      <c r="F13" s="10"/>
      <c r="G13" s="10"/>
      <c r="H13" s="9" t="s">
        <v>102</v>
      </c>
      <c r="I13" s="11" t="s">
        <v>867</v>
      </c>
    </row>
    <row r="14" spans="1:9" ht="23.1" customHeight="1" x14ac:dyDescent="0.25">
      <c r="A14" s="9" t="s">
        <v>108</v>
      </c>
      <c r="B14" s="34" t="s">
        <v>642</v>
      </c>
      <c r="C14" s="32"/>
      <c r="D14" s="32"/>
      <c r="E14" s="10"/>
      <c r="F14" s="10"/>
      <c r="G14" s="10"/>
      <c r="H14" s="9" t="s">
        <v>110</v>
      </c>
      <c r="I14" s="11" t="s">
        <v>868</v>
      </c>
    </row>
    <row r="15" spans="1:9" ht="46.5" customHeight="1" x14ac:dyDescent="0.25">
      <c r="A15" s="9" t="s">
        <v>116</v>
      </c>
      <c r="B15" s="34" t="s">
        <v>869</v>
      </c>
      <c r="C15" s="32"/>
      <c r="D15" s="32"/>
      <c r="E15" s="10"/>
      <c r="F15" s="10"/>
      <c r="G15" s="10"/>
      <c r="H15" s="9" t="s">
        <v>117</v>
      </c>
      <c r="I15" s="20">
        <v>46305</v>
      </c>
    </row>
    <row r="16" spans="1:9" ht="23.1" customHeight="1" x14ac:dyDescent="0.25">
      <c r="A16" s="9" t="s">
        <v>118</v>
      </c>
      <c r="B16" s="34" t="s">
        <v>47</v>
      </c>
      <c r="C16" s="32"/>
      <c r="D16" s="32"/>
      <c r="E16" s="32"/>
      <c r="F16" s="32"/>
      <c r="G16" s="32"/>
      <c r="H16" s="32"/>
      <c r="I16" s="32"/>
    </row>
    <row r="17" spans="1:9" ht="23.1" customHeight="1" x14ac:dyDescent="0.25">
      <c r="A17" s="9" t="s">
        <v>119</v>
      </c>
      <c r="B17" s="34" t="s">
        <v>643</v>
      </c>
      <c r="C17" s="32"/>
      <c r="D17" s="32"/>
      <c r="E17" s="32"/>
      <c r="F17" s="32"/>
      <c r="G17" s="32"/>
      <c r="H17" s="32"/>
      <c r="I17" s="32"/>
    </row>
    <row r="19" spans="1:9" ht="24" customHeight="1" x14ac:dyDescent="0.25">
      <c r="A19" s="31" t="s">
        <v>121</v>
      </c>
      <c r="B19" s="31" t="s">
        <v>122</v>
      </c>
      <c r="C19" s="32"/>
      <c r="D19" s="31" t="s">
        <v>123</v>
      </c>
      <c r="E19" s="31" t="s">
        <v>124</v>
      </c>
      <c r="F19" s="31" t="s">
        <v>125</v>
      </c>
    </row>
    <row r="20" spans="1:9" ht="65.099999999999994" customHeight="1" x14ac:dyDescent="0.25">
      <c r="A20" s="32"/>
      <c r="B20" s="5" t="s">
        <v>281</v>
      </c>
      <c r="C20" s="5" t="s">
        <v>282</v>
      </c>
      <c r="D20" s="32"/>
      <c r="E20" s="32"/>
      <c r="F20" s="32"/>
    </row>
    <row r="21" spans="1:9" ht="86.1" customHeight="1" x14ac:dyDescent="0.25">
      <c r="A21" s="12" t="s">
        <v>644</v>
      </c>
      <c r="B21" s="4" t="s">
        <v>645</v>
      </c>
      <c r="C21" s="4" t="s">
        <v>646</v>
      </c>
      <c r="D21" s="4" t="s">
        <v>647</v>
      </c>
      <c r="E21" s="4" t="s">
        <v>892</v>
      </c>
      <c r="F21" s="3" t="s">
        <v>5</v>
      </c>
    </row>
    <row r="22" spans="1:9" ht="23.1" customHeight="1" x14ac:dyDescent="0.25">
      <c r="A22" s="12" t="s">
        <v>648</v>
      </c>
      <c r="B22" s="4" t="s">
        <v>645</v>
      </c>
      <c r="C22" s="4" t="s">
        <v>649</v>
      </c>
      <c r="D22" s="4" t="s">
        <v>650</v>
      </c>
      <c r="E22" s="4" t="s">
        <v>891</v>
      </c>
      <c r="F22" s="3" t="s">
        <v>5</v>
      </c>
    </row>
    <row r="23" spans="1:9" ht="65.099999999999994" customHeight="1" x14ac:dyDescent="0.25">
      <c r="A23" s="12" t="s">
        <v>651</v>
      </c>
      <c r="B23" s="4" t="s">
        <v>645</v>
      </c>
      <c r="C23" s="4" t="s">
        <v>652</v>
      </c>
      <c r="D23" s="4" t="s">
        <v>650</v>
      </c>
      <c r="E23" s="4" t="s">
        <v>891</v>
      </c>
      <c r="F23" s="3" t="s">
        <v>5</v>
      </c>
    </row>
    <row r="24" spans="1:9" ht="23.1" customHeight="1" x14ac:dyDescent="0.25">
      <c r="A24" s="12" t="s">
        <v>653</v>
      </c>
      <c r="B24" s="4" t="s">
        <v>645</v>
      </c>
      <c r="C24" s="4" t="s">
        <v>654</v>
      </c>
      <c r="D24" s="4" t="s">
        <v>655</v>
      </c>
      <c r="E24" s="4" t="s">
        <v>890</v>
      </c>
      <c r="F24" s="3" t="s">
        <v>5</v>
      </c>
    </row>
    <row r="25" spans="1:9" ht="23.1" customHeight="1" x14ac:dyDescent="0.25">
      <c r="A25" s="12" t="s">
        <v>656</v>
      </c>
      <c r="B25" s="4" t="s">
        <v>657</v>
      </c>
      <c r="C25" s="4" t="s">
        <v>658</v>
      </c>
      <c r="D25" s="4" t="s">
        <v>659</v>
      </c>
      <c r="E25" s="4">
        <v>409</v>
      </c>
      <c r="F25" s="3" t="s">
        <v>5</v>
      </c>
    </row>
    <row r="26" spans="1:9" ht="65.099999999999994" customHeight="1" x14ac:dyDescent="0.25">
      <c r="A26" s="12" t="s">
        <v>660</v>
      </c>
      <c r="B26" s="4" t="s">
        <v>657</v>
      </c>
      <c r="C26" s="4" t="s">
        <v>661</v>
      </c>
      <c r="D26" s="4" t="s">
        <v>662</v>
      </c>
      <c r="E26" s="4">
        <v>200</v>
      </c>
      <c r="F26" s="3" t="s">
        <v>5</v>
      </c>
    </row>
    <row r="27" spans="1:9" ht="65.099999999999994" customHeight="1" x14ac:dyDescent="0.25">
      <c r="A27" s="12" t="s">
        <v>663</v>
      </c>
      <c r="B27" s="4" t="s">
        <v>664</v>
      </c>
      <c r="C27" s="4" t="s">
        <v>665</v>
      </c>
      <c r="D27" s="4" t="s">
        <v>666</v>
      </c>
      <c r="E27" s="4">
        <v>200</v>
      </c>
      <c r="F27" s="3" t="s">
        <v>5</v>
      </c>
    </row>
    <row r="28" spans="1:9" ht="65.099999999999994" customHeight="1" x14ac:dyDescent="0.25">
      <c r="A28" s="12" t="s">
        <v>667</v>
      </c>
      <c r="B28" s="4" t="s">
        <v>668</v>
      </c>
      <c r="C28" s="4" t="s">
        <v>669</v>
      </c>
      <c r="D28" s="4" t="s">
        <v>670</v>
      </c>
      <c r="E28" s="4">
        <v>400</v>
      </c>
      <c r="F28" s="3" t="s">
        <v>5</v>
      </c>
    </row>
    <row r="29" spans="1:9" ht="65.099999999999994" customHeight="1" x14ac:dyDescent="0.25">
      <c r="A29" s="12" t="s">
        <v>671</v>
      </c>
      <c r="B29" s="4" t="s">
        <v>668</v>
      </c>
      <c r="C29" s="4" t="s">
        <v>672</v>
      </c>
      <c r="D29" s="4" t="s">
        <v>673</v>
      </c>
      <c r="E29" s="4">
        <v>200</v>
      </c>
      <c r="F29" s="3" t="s">
        <v>5</v>
      </c>
    </row>
    <row r="30" spans="1:9" ht="86.1" customHeight="1" x14ac:dyDescent="0.25">
      <c r="A30" s="12" t="s">
        <v>674</v>
      </c>
      <c r="B30" s="4" t="s">
        <v>657</v>
      </c>
      <c r="C30" s="4" t="s">
        <v>675</v>
      </c>
      <c r="D30" s="4" t="s">
        <v>676</v>
      </c>
      <c r="E30" s="4">
        <v>400</v>
      </c>
      <c r="F30" s="3" t="s">
        <v>5</v>
      </c>
    </row>
    <row r="31" spans="1:9" ht="65.099999999999994" customHeight="1" x14ac:dyDescent="0.25">
      <c r="A31" s="12" t="s">
        <v>677</v>
      </c>
      <c r="B31" s="4" t="s">
        <v>678</v>
      </c>
      <c r="C31" s="4" t="s">
        <v>679</v>
      </c>
      <c r="D31" s="4" t="s">
        <v>680</v>
      </c>
      <c r="E31" s="4">
        <v>400</v>
      </c>
      <c r="F31" s="3" t="s">
        <v>5</v>
      </c>
    </row>
    <row r="32" spans="1:9" ht="86.1" customHeight="1" x14ac:dyDescent="0.25">
      <c r="A32" s="12" t="s">
        <v>681</v>
      </c>
      <c r="B32" s="4" t="s">
        <v>678</v>
      </c>
      <c r="C32" s="4" t="s">
        <v>679</v>
      </c>
      <c r="D32" s="4" t="s">
        <v>895</v>
      </c>
      <c r="E32" s="4" t="s">
        <v>906</v>
      </c>
      <c r="F32" s="3" t="s">
        <v>5</v>
      </c>
    </row>
    <row r="33" spans="1:6" ht="23.1" customHeight="1" x14ac:dyDescent="0.25">
      <c r="A33" s="12" t="s">
        <v>682</v>
      </c>
      <c r="B33" s="4" t="s">
        <v>683</v>
      </c>
      <c r="C33" s="4" t="s">
        <v>679</v>
      </c>
      <c r="D33" s="4" t="s">
        <v>889</v>
      </c>
      <c r="E33" s="4">
        <v>400</v>
      </c>
      <c r="F33" s="3" t="s">
        <v>5</v>
      </c>
    </row>
    <row r="34" spans="1:6" ht="65.099999999999994" customHeight="1" x14ac:dyDescent="0.25">
      <c r="A34" s="12" t="s">
        <v>684</v>
      </c>
      <c r="B34" s="4" t="s">
        <v>685</v>
      </c>
      <c r="C34" s="4" t="s">
        <v>686</v>
      </c>
      <c r="D34" s="4" t="s">
        <v>894</v>
      </c>
      <c r="E34" s="4">
        <v>403</v>
      </c>
      <c r="F34" s="3" t="s">
        <v>5</v>
      </c>
    </row>
    <row r="35" spans="1:6" ht="65.099999999999994" customHeight="1" x14ac:dyDescent="0.25">
      <c r="A35" s="12" t="s">
        <v>687</v>
      </c>
      <c r="B35" s="4" t="s">
        <v>688</v>
      </c>
      <c r="C35" s="4" t="s">
        <v>689</v>
      </c>
      <c r="D35" s="4" t="s">
        <v>690</v>
      </c>
      <c r="E35" s="4" t="s">
        <v>893</v>
      </c>
      <c r="F35" s="3" t="s">
        <v>5</v>
      </c>
    </row>
  </sheetData>
  <mergeCells count="27">
    <mergeCell ref="B3:C3"/>
    <mergeCell ref="B16:I16"/>
    <mergeCell ref="B17:I17"/>
    <mergeCell ref="F4:I4"/>
    <mergeCell ref="B15:D15"/>
    <mergeCell ref="B8:C8"/>
    <mergeCell ref="F6:I6"/>
    <mergeCell ref="F7:I7"/>
    <mergeCell ref="B14:D14"/>
    <mergeCell ref="B7:C7"/>
    <mergeCell ref="F9:I9"/>
    <mergeCell ref="A1:I1"/>
    <mergeCell ref="B4:C4"/>
    <mergeCell ref="E2:F2"/>
    <mergeCell ref="F3:I3"/>
    <mergeCell ref="A19:A20"/>
    <mergeCell ref="B9:C9"/>
    <mergeCell ref="F5:I5"/>
    <mergeCell ref="D19:D20"/>
    <mergeCell ref="B6:C6"/>
    <mergeCell ref="A11:I11"/>
    <mergeCell ref="F8:I8"/>
    <mergeCell ref="B5:C5"/>
    <mergeCell ref="B19:C19"/>
    <mergeCell ref="E19:E20"/>
    <mergeCell ref="B13:D13"/>
    <mergeCell ref="F19:F20"/>
  </mergeCells>
  <conditionalFormatting sqref="F21:F35">
    <cfRule type="cellIs" dxfId="11" priority="1" operator="equal">
      <formula>"Pass"</formula>
    </cfRule>
    <cfRule type="cellIs" dxfId="10" priority="2" operator="equal">
      <formula>"Fail"</formula>
    </cfRule>
    <cfRule type="cellIs" dxfId="9" priority="3" operator="equal">
      <formula>"Block"</formula>
    </cfRule>
  </conditionalFormatting>
  <dataValidations count="1">
    <dataValidation type="list" allowBlank="1" sqref="F21:F35" xr:uid="{00000000-0002-0000-0B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0"/>
  <sheetViews>
    <sheetView showGridLines="0" topLeftCell="A24" workbookViewId="0">
      <selection activeCell="H30" sqref="H30"/>
    </sheetView>
  </sheetViews>
  <sheetFormatPr defaultRowHeight="15" x14ac:dyDescent="0.25"/>
  <cols>
    <col min="1" max="1" width="22" customWidth="1"/>
    <col min="2" max="3" width="24" customWidth="1"/>
    <col min="4" max="4" width="44" customWidth="1"/>
    <col min="5" max="5" width="18" customWidth="1"/>
    <col min="6" max="6" width="17" customWidth="1"/>
    <col min="7" max="9" width="14" customWidth="1"/>
  </cols>
  <sheetData>
    <row r="1" spans="1:9" x14ac:dyDescent="0.25">
      <c r="A1" s="35" t="s">
        <v>183</v>
      </c>
      <c r="B1" s="36"/>
      <c r="C1" s="36"/>
      <c r="D1" s="36"/>
      <c r="E1" s="36"/>
      <c r="F1" s="36"/>
      <c r="G1" s="36"/>
      <c r="H1" s="36"/>
      <c r="I1" s="36"/>
    </row>
    <row r="2" spans="1:9" ht="21" x14ac:dyDescent="0.25">
      <c r="A2" s="13" t="s">
        <v>184</v>
      </c>
      <c r="E2" s="39" t="s">
        <v>185</v>
      </c>
      <c r="F2" s="40"/>
    </row>
    <row r="3" spans="1:9" ht="21" x14ac:dyDescent="0.25">
      <c r="A3" s="14" t="s">
        <v>186</v>
      </c>
      <c r="B3" s="41" t="s">
        <v>187</v>
      </c>
      <c r="C3" s="42"/>
      <c r="E3" s="14" t="s">
        <v>186</v>
      </c>
      <c r="F3" s="41" t="s">
        <v>187</v>
      </c>
      <c r="G3" s="42"/>
      <c r="H3" s="42"/>
      <c r="I3" s="42"/>
    </row>
    <row r="4" spans="1:9" ht="23.1" customHeight="1" x14ac:dyDescent="0.25">
      <c r="A4" s="15" t="s">
        <v>188</v>
      </c>
      <c r="B4" s="37" t="s">
        <v>691</v>
      </c>
      <c r="C4" s="38"/>
      <c r="E4" s="15" t="s">
        <v>190</v>
      </c>
      <c r="F4" s="37" t="s">
        <v>692</v>
      </c>
      <c r="G4" s="38"/>
      <c r="H4" s="38"/>
      <c r="I4" s="38"/>
    </row>
    <row r="5" spans="1:9" ht="23.1" customHeight="1" x14ac:dyDescent="0.25">
      <c r="A5" s="15" t="s">
        <v>192</v>
      </c>
      <c r="B5" s="37" t="s">
        <v>693</v>
      </c>
      <c r="C5" s="38"/>
      <c r="E5" s="15" t="s">
        <v>194</v>
      </c>
      <c r="F5" s="37" t="s">
        <v>694</v>
      </c>
      <c r="G5" s="38"/>
      <c r="H5" s="38"/>
      <c r="I5" s="38"/>
    </row>
    <row r="6" spans="1:9" ht="23.1" customHeight="1" x14ac:dyDescent="0.25">
      <c r="A6" s="15" t="s">
        <v>196</v>
      </c>
      <c r="B6" s="37" t="s">
        <v>695</v>
      </c>
      <c r="C6" s="38"/>
      <c r="E6" s="15" t="s">
        <v>198</v>
      </c>
      <c r="F6" s="37" t="s">
        <v>696</v>
      </c>
      <c r="G6" s="38"/>
      <c r="H6" s="38"/>
      <c r="I6" s="38"/>
    </row>
    <row r="7" spans="1:9" ht="23.1" customHeight="1" x14ac:dyDescent="0.25">
      <c r="A7" s="15" t="s">
        <v>200</v>
      </c>
      <c r="B7" s="37" t="s">
        <v>697</v>
      </c>
      <c r="C7" s="38"/>
      <c r="E7" s="15" t="s">
        <v>269</v>
      </c>
      <c r="F7" s="37" t="s">
        <v>698</v>
      </c>
      <c r="G7" s="38"/>
      <c r="H7" s="38"/>
      <c r="I7" s="38"/>
    </row>
    <row r="8" spans="1:9" ht="23.1" customHeight="1" x14ac:dyDescent="0.25">
      <c r="E8" s="15" t="s">
        <v>271</v>
      </c>
      <c r="F8" s="37" t="s">
        <v>699</v>
      </c>
      <c r="G8" s="38"/>
      <c r="H8" s="38"/>
      <c r="I8" s="38"/>
    </row>
    <row r="10" spans="1:9" x14ac:dyDescent="0.25">
      <c r="A10" s="33" t="s">
        <v>90</v>
      </c>
      <c r="B10" s="30"/>
      <c r="C10" s="30"/>
      <c r="D10" s="30"/>
      <c r="E10" s="30"/>
      <c r="F10" s="30"/>
      <c r="G10" s="30"/>
      <c r="H10" s="30"/>
      <c r="I10" s="30"/>
    </row>
    <row r="12" spans="1:9" ht="65.099999999999994" customHeight="1" x14ac:dyDescent="0.25">
      <c r="A12" s="9" t="s">
        <v>100</v>
      </c>
      <c r="B12" s="34" t="s">
        <v>700</v>
      </c>
      <c r="C12" s="32"/>
      <c r="D12" s="32"/>
      <c r="E12" s="10"/>
      <c r="F12" s="10"/>
      <c r="G12" s="10"/>
      <c r="H12" s="9" t="s">
        <v>102</v>
      </c>
      <c r="I12" s="11" t="s">
        <v>867</v>
      </c>
    </row>
    <row r="13" spans="1:9" ht="23.1" customHeight="1" x14ac:dyDescent="0.25">
      <c r="A13" s="9" t="s">
        <v>108</v>
      </c>
      <c r="B13" s="34" t="s">
        <v>701</v>
      </c>
      <c r="C13" s="32"/>
      <c r="D13" s="32"/>
      <c r="E13" s="10"/>
      <c r="F13" s="10"/>
      <c r="G13" s="10"/>
      <c r="H13" s="9" t="s">
        <v>110</v>
      </c>
      <c r="I13" s="11" t="s">
        <v>868</v>
      </c>
    </row>
    <row r="14" spans="1:9" ht="46.5" customHeight="1" x14ac:dyDescent="0.25">
      <c r="A14" s="9" t="s">
        <v>116</v>
      </c>
      <c r="B14" s="34" t="s">
        <v>869</v>
      </c>
      <c r="C14" s="32"/>
      <c r="D14" s="32"/>
      <c r="E14" s="10"/>
      <c r="F14" s="10"/>
      <c r="G14" s="10"/>
      <c r="H14" s="9" t="s">
        <v>117</v>
      </c>
      <c r="I14" s="20">
        <v>46305</v>
      </c>
    </row>
    <row r="15" spans="1:9" ht="23.1" customHeight="1" x14ac:dyDescent="0.25">
      <c r="A15" s="9" t="s">
        <v>118</v>
      </c>
      <c r="B15" s="34" t="s">
        <v>48</v>
      </c>
      <c r="C15" s="32"/>
      <c r="D15" s="32"/>
      <c r="E15" s="32"/>
      <c r="F15" s="32"/>
      <c r="G15" s="32"/>
      <c r="H15" s="32"/>
      <c r="I15" s="32"/>
    </row>
    <row r="16" spans="1:9" ht="23.1" customHeight="1" x14ac:dyDescent="0.25">
      <c r="A16" s="9" t="s">
        <v>119</v>
      </c>
      <c r="B16" s="34" t="s">
        <v>702</v>
      </c>
      <c r="C16" s="32"/>
      <c r="D16" s="32"/>
      <c r="E16" s="32"/>
      <c r="F16" s="32"/>
      <c r="G16" s="32"/>
      <c r="H16" s="32"/>
      <c r="I16" s="32"/>
    </row>
    <row r="18" spans="1:6" ht="24" customHeight="1" x14ac:dyDescent="0.25">
      <c r="A18" s="31" t="s">
        <v>121</v>
      </c>
      <c r="B18" s="31" t="s">
        <v>122</v>
      </c>
      <c r="C18" s="32"/>
      <c r="D18" s="31" t="s">
        <v>123</v>
      </c>
      <c r="E18" s="31" t="s">
        <v>124</v>
      </c>
      <c r="F18" s="31" t="s">
        <v>125</v>
      </c>
    </row>
    <row r="19" spans="1:6" ht="65.099999999999994" customHeight="1" x14ac:dyDescent="0.25">
      <c r="A19" s="32"/>
      <c r="B19" s="5" t="s">
        <v>281</v>
      </c>
      <c r="C19" s="5" t="s">
        <v>703</v>
      </c>
      <c r="D19" s="32"/>
      <c r="E19" s="32"/>
      <c r="F19" s="32"/>
    </row>
    <row r="20" spans="1:6" ht="86.1" customHeight="1" x14ac:dyDescent="0.25">
      <c r="A20" s="12" t="s">
        <v>704</v>
      </c>
      <c r="B20" s="4" t="s">
        <v>705</v>
      </c>
      <c r="C20" s="4" t="s">
        <v>706</v>
      </c>
      <c r="D20" s="4" t="s">
        <v>707</v>
      </c>
      <c r="E20" s="4">
        <v>200</v>
      </c>
      <c r="F20" s="3" t="s">
        <v>5</v>
      </c>
    </row>
    <row r="21" spans="1:6" ht="65.099999999999994" customHeight="1" x14ac:dyDescent="0.25">
      <c r="A21" s="12" t="s">
        <v>708</v>
      </c>
      <c r="B21" s="4" t="s">
        <v>709</v>
      </c>
      <c r="C21" s="4" t="s">
        <v>710</v>
      </c>
      <c r="D21" s="4" t="s">
        <v>711</v>
      </c>
      <c r="E21" s="4" t="s">
        <v>897</v>
      </c>
      <c r="F21" s="3" t="s">
        <v>5</v>
      </c>
    </row>
    <row r="22" spans="1:6" ht="65.099999999999994" customHeight="1" x14ac:dyDescent="0.25">
      <c r="A22" s="12" t="s">
        <v>712</v>
      </c>
      <c r="B22" s="4" t="s">
        <v>713</v>
      </c>
      <c r="C22" s="4" t="s">
        <v>714</v>
      </c>
      <c r="D22" s="4" t="s">
        <v>715</v>
      </c>
      <c r="E22" s="4">
        <v>200</v>
      </c>
      <c r="F22" s="3" t="s">
        <v>5</v>
      </c>
    </row>
    <row r="23" spans="1:6" ht="65.099999999999994" customHeight="1" x14ac:dyDescent="0.25">
      <c r="A23" s="12" t="s">
        <v>716</v>
      </c>
      <c r="B23" s="4" t="s">
        <v>717</v>
      </c>
      <c r="C23" s="4" t="s">
        <v>718</v>
      </c>
      <c r="D23" s="4" t="s">
        <v>719</v>
      </c>
      <c r="E23" s="4">
        <v>400</v>
      </c>
      <c r="F23" s="3" t="s">
        <v>5</v>
      </c>
    </row>
    <row r="24" spans="1:6" ht="65.099999999999994" customHeight="1" x14ac:dyDescent="0.25">
      <c r="A24" s="12" t="s">
        <v>720</v>
      </c>
      <c r="B24" s="4" t="s">
        <v>721</v>
      </c>
      <c r="C24" s="4" t="s">
        <v>718</v>
      </c>
      <c r="D24" s="4" t="s">
        <v>722</v>
      </c>
      <c r="E24" s="4">
        <v>400</v>
      </c>
      <c r="F24" s="3" t="s">
        <v>5</v>
      </c>
    </row>
    <row r="25" spans="1:6" ht="65.099999999999994" customHeight="1" x14ac:dyDescent="0.25">
      <c r="A25" s="12" t="s">
        <v>723</v>
      </c>
      <c r="B25" s="4" t="s">
        <v>724</v>
      </c>
      <c r="C25" s="4" t="s">
        <v>725</v>
      </c>
      <c r="D25" s="4" t="s">
        <v>726</v>
      </c>
      <c r="E25" s="4">
        <v>200</v>
      </c>
      <c r="F25" s="3" t="s">
        <v>5</v>
      </c>
    </row>
    <row r="26" spans="1:6" ht="23.1" customHeight="1" x14ac:dyDescent="0.25">
      <c r="A26" s="12" t="s">
        <v>727</v>
      </c>
      <c r="B26" s="4" t="s">
        <v>728</v>
      </c>
      <c r="C26" s="4" t="s">
        <v>729</v>
      </c>
      <c r="D26" s="4" t="s">
        <v>730</v>
      </c>
      <c r="E26" s="4">
        <v>404</v>
      </c>
      <c r="F26" s="3" t="s">
        <v>5</v>
      </c>
    </row>
    <row r="27" spans="1:6" ht="65.099999999999994" customHeight="1" x14ac:dyDescent="0.25">
      <c r="A27" s="12" t="s">
        <v>731</v>
      </c>
      <c r="B27" s="4" t="s">
        <v>732</v>
      </c>
      <c r="C27" s="4" t="s">
        <v>733</v>
      </c>
      <c r="D27" s="4" t="s">
        <v>734</v>
      </c>
      <c r="E27" s="4">
        <v>400</v>
      </c>
      <c r="F27" s="3" t="s">
        <v>5</v>
      </c>
    </row>
    <row r="28" spans="1:6" ht="65.099999999999994" customHeight="1" x14ac:dyDescent="0.25">
      <c r="A28" s="12" t="s">
        <v>735</v>
      </c>
      <c r="B28" s="4" t="s">
        <v>736</v>
      </c>
      <c r="C28" s="4" t="s">
        <v>737</v>
      </c>
      <c r="D28" s="4" t="s">
        <v>738</v>
      </c>
      <c r="E28" s="4">
        <v>200</v>
      </c>
      <c r="F28" s="3" t="s">
        <v>5</v>
      </c>
    </row>
    <row r="29" spans="1:6" ht="86.1" customHeight="1" x14ac:dyDescent="0.25">
      <c r="A29" s="12" t="s">
        <v>739</v>
      </c>
      <c r="B29" s="4" t="s">
        <v>740</v>
      </c>
      <c r="C29" s="4" t="s">
        <v>741</v>
      </c>
      <c r="D29" s="4" t="s">
        <v>896</v>
      </c>
      <c r="E29" s="4">
        <v>200</v>
      </c>
      <c r="F29" s="3" t="s">
        <v>5</v>
      </c>
    </row>
    <row r="30" spans="1:6" ht="86.1" customHeight="1" x14ac:dyDescent="0.25">
      <c r="A30" s="12" t="s">
        <v>742</v>
      </c>
      <c r="B30" s="4" t="s">
        <v>743</v>
      </c>
      <c r="C30" s="4" t="s">
        <v>744</v>
      </c>
      <c r="D30" s="4" t="s">
        <v>745</v>
      </c>
      <c r="E30" s="4">
        <v>200</v>
      </c>
      <c r="F30" s="3" t="s">
        <v>5</v>
      </c>
    </row>
  </sheetData>
  <mergeCells count="24">
    <mergeCell ref="B13:D13"/>
    <mergeCell ref="B18:C18"/>
    <mergeCell ref="F5:I5"/>
    <mergeCell ref="A18:A19"/>
    <mergeCell ref="B6:C6"/>
    <mergeCell ref="D18:D19"/>
    <mergeCell ref="F18:F19"/>
    <mergeCell ref="B15:I15"/>
    <mergeCell ref="F8:I8"/>
    <mergeCell ref="B5:C5"/>
    <mergeCell ref="E18:E19"/>
    <mergeCell ref="F6:I6"/>
    <mergeCell ref="B16:I16"/>
    <mergeCell ref="A10:I10"/>
    <mergeCell ref="F7:I7"/>
    <mergeCell ref="B14:D14"/>
    <mergeCell ref="B7:C7"/>
    <mergeCell ref="A1:I1"/>
    <mergeCell ref="B12:D12"/>
    <mergeCell ref="B4:C4"/>
    <mergeCell ref="E2:F2"/>
    <mergeCell ref="F3:I3"/>
    <mergeCell ref="F4:I4"/>
    <mergeCell ref="B3:C3"/>
  </mergeCells>
  <conditionalFormatting sqref="F20:F30">
    <cfRule type="cellIs" dxfId="8" priority="1" operator="equal">
      <formula>"Pass"</formula>
    </cfRule>
    <cfRule type="cellIs" dxfId="7" priority="2" operator="equal">
      <formula>"Fail"</formula>
    </cfRule>
    <cfRule type="cellIs" dxfId="6" priority="3" operator="equal">
      <formula>"Block"</formula>
    </cfRule>
  </conditionalFormatting>
  <dataValidations count="1">
    <dataValidation type="list" allowBlank="1" sqref="F20:F30" xr:uid="{00000000-0002-0000-0C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7"/>
  <sheetViews>
    <sheetView showGridLines="0" topLeftCell="A22" workbookViewId="0">
      <selection activeCell="F26" activeCellId="1" sqref="F25 F26"/>
    </sheetView>
  </sheetViews>
  <sheetFormatPr defaultRowHeight="15" x14ac:dyDescent="0.25"/>
  <cols>
    <col min="1" max="1" width="22" customWidth="1"/>
    <col min="2" max="3" width="32" customWidth="1"/>
    <col min="4" max="4" width="52" customWidth="1"/>
    <col min="5" max="5" width="37.28515625" customWidth="1"/>
    <col min="6" max="6" width="17" customWidth="1"/>
    <col min="7" max="9" width="14" customWidth="1"/>
  </cols>
  <sheetData>
    <row r="1" spans="1:9" x14ac:dyDescent="0.25">
      <c r="A1" s="35" t="s">
        <v>183</v>
      </c>
      <c r="B1" s="36"/>
      <c r="C1" s="36"/>
      <c r="D1" s="36"/>
      <c r="E1" s="36"/>
      <c r="F1" s="36"/>
      <c r="G1" s="36"/>
      <c r="H1" s="36"/>
      <c r="I1" s="36"/>
    </row>
    <row r="2" spans="1:9" ht="21" x14ac:dyDescent="0.25">
      <c r="A2" s="13" t="s">
        <v>184</v>
      </c>
      <c r="E2" s="39" t="s">
        <v>185</v>
      </c>
      <c r="F2" s="40"/>
    </row>
    <row r="3" spans="1:9" ht="21" x14ac:dyDescent="0.25">
      <c r="A3" s="14" t="s">
        <v>186</v>
      </c>
      <c r="B3" s="41" t="s">
        <v>187</v>
      </c>
      <c r="C3" s="42"/>
      <c r="E3" s="14" t="s">
        <v>186</v>
      </c>
      <c r="F3" s="41" t="s">
        <v>187</v>
      </c>
      <c r="G3" s="42"/>
      <c r="H3" s="42"/>
      <c r="I3" s="42"/>
    </row>
    <row r="4" spans="1:9" ht="23.1" customHeight="1" x14ac:dyDescent="0.25">
      <c r="A4" s="15" t="s">
        <v>746</v>
      </c>
      <c r="B4" s="37" t="s">
        <v>747</v>
      </c>
      <c r="C4" s="38"/>
      <c r="E4" s="15" t="s">
        <v>748</v>
      </c>
      <c r="F4" s="37" t="s">
        <v>749</v>
      </c>
      <c r="G4" s="38"/>
      <c r="H4" s="38"/>
      <c r="I4" s="38"/>
    </row>
    <row r="5" spans="1:9" ht="23.1" customHeight="1" x14ac:dyDescent="0.25">
      <c r="A5" s="15" t="s">
        <v>750</v>
      </c>
      <c r="B5" s="37" t="s">
        <v>751</v>
      </c>
      <c r="C5" s="38"/>
      <c r="E5" s="15" t="s">
        <v>752</v>
      </c>
      <c r="F5" s="37" t="s">
        <v>753</v>
      </c>
      <c r="G5" s="38"/>
      <c r="H5" s="38"/>
      <c r="I5" s="38"/>
    </row>
    <row r="6" spans="1:9" ht="23.1" customHeight="1" x14ac:dyDescent="0.25">
      <c r="A6" s="15" t="s">
        <v>754</v>
      </c>
      <c r="B6" s="37" t="s">
        <v>755</v>
      </c>
      <c r="C6" s="38"/>
      <c r="E6" s="15" t="s">
        <v>756</v>
      </c>
      <c r="F6" s="37" t="s">
        <v>757</v>
      </c>
      <c r="G6" s="38"/>
      <c r="H6" s="38"/>
      <c r="I6" s="38"/>
    </row>
    <row r="7" spans="1:9" ht="23.1" customHeight="1" x14ac:dyDescent="0.25">
      <c r="E7" s="15" t="s">
        <v>758</v>
      </c>
      <c r="F7" s="37" t="s">
        <v>759</v>
      </c>
      <c r="G7" s="38"/>
      <c r="H7" s="38"/>
      <c r="I7" s="38"/>
    </row>
    <row r="8" spans="1:9" ht="23.1" customHeight="1" x14ac:dyDescent="0.25">
      <c r="E8" s="15" t="s">
        <v>760</v>
      </c>
      <c r="F8" s="37" t="s">
        <v>761</v>
      </c>
      <c r="G8" s="38"/>
      <c r="H8" s="38"/>
      <c r="I8" s="38"/>
    </row>
    <row r="10" spans="1:9" x14ac:dyDescent="0.25">
      <c r="A10" s="33" t="s">
        <v>90</v>
      </c>
      <c r="B10" s="30"/>
      <c r="C10" s="30"/>
      <c r="D10" s="30"/>
      <c r="E10" s="30"/>
      <c r="F10" s="30"/>
      <c r="G10" s="30"/>
      <c r="H10" s="30"/>
      <c r="I10" s="30"/>
    </row>
    <row r="12" spans="1:9" ht="23.1" customHeight="1" x14ac:dyDescent="0.25">
      <c r="A12" s="9" t="s">
        <v>100</v>
      </c>
      <c r="B12" s="34" t="s">
        <v>762</v>
      </c>
      <c r="C12" s="32"/>
      <c r="D12" s="32"/>
      <c r="E12" s="10"/>
      <c r="F12" s="10"/>
      <c r="G12" s="10"/>
      <c r="H12" s="9" t="s">
        <v>102</v>
      </c>
      <c r="I12" s="11" t="s">
        <v>867</v>
      </c>
    </row>
    <row r="13" spans="1:9" ht="23.1" customHeight="1" x14ac:dyDescent="0.25">
      <c r="A13" s="9" t="s">
        <v>108</v>
      </c>
      <c r="B13" s="34" t="s">
        <v>763</v>
      </c>
      <c r="C13" s="32"/>
      <c r="D13" s="32"/>
      <c r="E13" s="10"/>
      <c r="F13" s="10"/>
      <c r="G13" s="10"/>
      <c r="H13" s="9" t="s">
        <v>110</v>
      </c>
      <c r="I13" s="11" t="s">
        <v>868</v>
      </c>
    </row>
    <row r="14" spans="1:9" ht="24.75" customHeight="1" x14ac:dyDescent="0.25">
      <c r="A14" s="9" t="s">
        <v>116</v>
      </c>
      <c r="B14" s="34" t="s">
        <v>869</v>
      </c>
      <c r="C14" s="32"/>
      <c r="D14" s="32"/>
      <c r="E14" s="10"/>
      <c r="F14" s="10"/>
      <c r="G14" s="10"/>
      <c r="H14" s="9" t="s">
        <v>117</v>
      </c>
      <c r="I14" s="20">
        <v>46305</v>
      </c>
    </row>
    <row r="15" spans="1:9" ht="23.1" customHeight="1" x14ac:dyDescent="0.25">
      <c r="A15" s="9" t="s">
        <v>118</v>
      </c>
      <c r="B15" s="34" t="s">
        <v>49</v>
      </c>
      <c r="C15" s="32"/>
      <c r="D15" s="32"/>
      <c r="E15" s="32"/>
      <c r="F15" s="32"/>
      <c r="G15" s="32"/>
      <c r="H15" s="32"/>
      <c r="I15" s="32"/>
    </row>
    <row r="16" spans="1:9" ht="23.1" customHeight="1" x14ac:dyDescent="0.25">
      <c r="A16" s="9" t="s">
        <v>119</v>
      </c>
      <c r="B16" s="34" t="s">
        <v>764</v>
      </c>
      <c r="C16" s="32"/>
      <c r="D16" s="32"/>
      <c r="E16" s="32"/>
      <c r="F16" s="32"/>
      <c r="G16" s="32"/>
      <c r="H16" s="32"/>
      <c r="I16" s="32"/>
    </row>
    <row r="18" spans="1:6" ht="24" customHeight="1" x14ac:dyDescent="0.25">
      <c r="A18" s="31" t="s">
        <v>121</v>
      </c>
      <c r="B18" s="31" t="s">
        <v>122</v>
      </c>
      <c r="C18" s="32"/>
      <c r="D18" s="31" t="s">
        <v>123</v>
      </c>
      <c r="E18" s="31" t="s">
        <v>124</v>
      </c>
      <c r="F18" s="31" t="s">
        <v>125</v>
      </c>
    </row>
    <row r="19" spans="1:6" ht="65.099999999999994" customHeight="1" x14ac:dyDescent="0.25">
      <c r="A19" s="32"/>
      <c r="B19" s="5" t="s">
        <v>765</v>
      </c>
      <c r="C19" s="5" t="s">
        <v>766</v>
      </c>
      <c r="D19" s="32"/>
      <c r="E19" s="32"/>
      <c r="F19" s="32"/>
    </row>
    <row r="20" spans="1:6" ht="107.1" customHeight="1" x14ac:dyDescent="0.25">
      <c r="A20" s="12" t="s">
        <v>767</v>
      </c>
      <c r="B20" s="4" t="s">
        <v>768</v>
      </c>
      <c r="C20" s="4" t="s">
        <v>769</v>
      </c>
      <c r="D20" s="4" t="s">
        <v>770</v>
      </c>
      <c r="E20" s="4" t="s">
        <v>770</v>
      </c>
      <c r="F20" s="3" t="s">
        <v>5</v>
      </c>
    </row>
    <row r="21" spans="1:6" ht="65.099999999999994" customHeight="1" x14ac:dyDescent="0.25">
      <c r="A21" s="12" t="s">
        <v>771</v>
      </c>
      <c r="B21" s="4" t="s">
        <v>772</v>
      </c>
      <c r="C21" s="4" t="s">
        <v>773</v>
      </c>
      <c r="D21" s="4" t="s">
        <v>900</v>
      </c>
      <c r="E21" s="4" t="s">
        <v>900</v>
      </c>
      <c r="F21" s="3" t="s">
        <v>5</v>
      </c>
    </row>
    <row r="22" spans="1:6" ht="86.1" customHeight="1" x14ac:dyDescent="0.25">
      <c r="A22" s="12" t="s">
        <v>774</v>
      </c>
      <c r="B22" s="4" t="s">
        <v>775</v>
      </c>
      <c r="C22" s="4" t="s">
        <v>776</v>
      </c>
      <c r="D22" s="4" t="s">
        <v>899</v>
      </c>
      <c r="E22" s="4" t="s">
        <v>907</v>
      </c>
      <c r="F22" s="3" t="s">
        <v>5</v>
      </c>
    </row>
    <row r="23" spans="1:6" ht="128.1" customHeight="1" x14ac:dyDescent="0.25">
      <c r="A23" s="12" t="s">
        <v>777</v>
      </c>
      <c r="B23" s="4" t="s">
        <v>778</v>
      </c>
      <c r="C23" s="4" t="s">
        <v>779</v>
      </c>
      <c r="D23" s="4" t="s">
        <v>780</v>
      </c>
      <c r="E23" s="4" t="s">
        <v>780</v>
      </c>
      <c r="F23" s="3" t="s">
        <v>5</v>
      </c>
    </row>
    <row r="24" spans="1:6" ht="86.1" customHeight="1" x14ac:dyDescent="0.25">
      <c r="A24" s="12" t="s">
        <v>781</v>
      </c>
      <c r="B24" s="4" t="s">
        <v>782</v>
      </c>
      <c r="C24" s="4" t="s">
        <v>783</v>
      </c>
      <c r="D24" s="4" t="s">
        <v>784</v>
      </c>
      <c r="E24" s="4" t="s">
        <v>784</v>
      </c>
      <c r="F24" s="3" t="s">
        <v>5</v>
      </c>
    </row>
    <row r="25" spans="1:6" ht="86.1" customHeight="1" x14ac:dyDescent="0.25">
      <c r="A25" s="12" t="s">
        <v>785</v>
      </c>
      <c r="B25" s="4" t="s">
        <v>786</v>
      </c>
      <c r="C25" s="4" t="s">
        <v>787</v>
      </c>
      <c r="D25" s="4">
        <v>403</v>
      </c>
      <c r="E25" s="4">
        <v>403</v>
      </c>
      <c r="F25" s="3" t="s">
        <v>5</v>
      </c>
    </row>
    <row r="26" spans="1:6" ht="107.1" customHeight="1" x14ac:dyDescent="0.25">
      <c r="A26" s="12" t="s">
        <v>788</v>
      </c>
      <c r="B26" s="4" t="s">
        <v>789</v>
      </c>
      <c r="C26" s="4" t="s">
        <v>790</v>
      </c>
      <c r="D26" s="4" t="s">
        <v>898</v>
      </c>
      <c r="E26" s="4" t="s">
        <v>898</v>
      </c>
      <c r="F26" s="3" t="s">
        <v>5</v>
      </c>
    </row>
    <row r="27" spans="1:6" ht="23.1" customHeight="1" x14ac:dyDescent="0.25">
      <c r="A27" s="12" t="s">
        <v>791</v>
      </c>
      <c r="B27" s="4" t="s">
        <v>792</v>
      </c>
      <c r="C27" s="4" t="s">
        <v>793</v>
      </c>
      <c r="D27" s="4" t="s">
        <v>794</v>
      </c>
      <c r="E27" s="4">
        <v>400</v>
      </c>
      <c r="F27" s="3" t="s">
        <v>5</v>
      </c>
    </row>
  </sheetData>
  <mergeCells count="23">
    <mergeCell ref="B18:C18"/>
    <mergeCell ref="F5:I5"/>
    <mergeCell ref="A18:A19"/>
    <mergeCell ref="B6:C6"/>
    <mergeCell ref="D18:D19"/>
    <mergeCell ref="F18:F19"/>
    <mergeCell ref="B15:I15"/>
    <mergeCell ref="F8:I8"/>
    <mergeCell ref="B5:C5"/>
    <mergeCell ref="B14:D14"/>
    <mergeCell ref="B13:D13"/>
    <mergeCell ref="E18:E19"/>
    <mergeCell ref="F6:I6"/>
    <mergeCell ref="B16:I16"/>
    <mergeCell ref="A10:I10"/>
    <mergeCell ref="A1:I1"/>
    <mergeCell ref="B12:D12"/>
    <mergeCell ref="B4:C4"/>
    <mergeCell ref="E2:F2"/>
    <mergeCell ref="F3:I3"/>
    <mergeCell ref="B3:C3"/>
    <mergeCell ref="F4:I4"/>
    <mergeCell ref="F7:I7"/>
  </mergeCells>
  <conditionalFormatting sqref="F20:F27">
    <cfRule type="cellIs" dxfId="5" priority="1" operator="equal">
      <formula>"Pass"</formula>
    </cfRule>
    <cfRule type="cellIs" dxfId="4" priority="2" operator="equal">
      <formula>"Fail"</formula>
    </cfRule>
    <cfRule type="cellIs" dxfId="3" priority="3" operator="equal">
      <formula>"Block"</formula>
    </cfRule>
  </conditionalFormatting>
  <dataValidations count="1">
    <dataValidation type="list" allowBlank="1" sqref="F20:F27" xr:uid="{00000000-0002-0000-0D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26"/>
  <sheetViews>
    <sheetView showGridLines="0" topLeftCell="A20" workbookViewId="0">
      <selection activeCell="F26" sqref="F26"/>
    </sheetView>
  </sheetViews>
  <sheetFormatPr defaultRowHeight="15" x14ac:dyDescent="0.25"/>
  <cols>
    <col min="1" max="1" width="22" customWidth="1"/>
    <col min="2" max="3" width="28" customWidth="1"/>
    <col min="4" max="4" width="42" customWidth="1"/>
    <col min="5" max="5" width="18" customWidth="1"/>
    <col min="6" max="6" width="17" customWidth="1"/>
    <col min="7" max="9" width="14" customWidth="1"/>
  </cols>
  <sheetData>
    <row r="1" spans="1:9" x14ac:dyDescent="0.25">
      <c r="A1" s="35" t="s">
        <v>183</v>
      </c>
      <c r="B1" s="36"/>
      <c r="C1" s="36"/>
      <c r="D1" s="36"/>
      <c r="E1" s="36"/>
      <c r="F1" s="36"/>
      <c r="G1" s="36"/>
      <c r="H1" s="36"/>
      <c r="I1" s="36"/>
    </row>
    <row r="2" spans="1:9" ht="21" x14ac:dyDescent="0.25">
      <c r="A2" s="13" t="s">
        <v>184</v>
      </c>
      <c r="E2" s="39" t="s">
        <v>185</v>
      </c>
      <c r="F2" s="40"/>
    </row>
    <row r="3" spans="1:9" ht="21" x14ac:dyDescent="0.25">
      <c r="A3" s="14" t="s">
        <v>186</v>
      </c>
      <c r="B3" s="41" t="s">
        <v>187</v>
      </c>
      <c r="C3" s="42"/>
      <c r="E3" s="14" t="s">
        <v>186</v>
      </c>
      <c r="F3" s="41" t="s">
        <v>187</v>
      </c>
      <c r="G3" s="42"/>
      <c r="H3" s="42"/>
      <c r="I3" s="42"/>
    </row>
    <row r="4" spans="1:9" ht="23.1" customHeight="1" x14ac:dyDescent="0.25">
      <c r="A4" s="15" t="s">
        <v>188</v>
      </c>
      <c r="B4" s="37" t="s">
        <v>795</v>
      </c>
      <c r="C4" s="38"/>
      <c r="E4" s="15" t="s">
        <v>190</v>
      </c>
      <c r="F4" s="37" t="s">
        <v>796</v>
      </c>
      <c r="G4" s="38"/>
      <c r="H4" s="38"/>
      <c r="I4" s="38"/>
    </row>
    <row r="5" spans="1:9" ht="23.1" customHeight="1" x14ac:dyDescent="0.25">
      <c r="A5" s="15" t="s">
        <v>192</v>
      </c>
      <c r="B5" s="37" t="s">
        <v>797</v>
      </c>
      <c r="C5" s="38"/>
      <c r="E5" s="15" t="s">
        <v>194</v>
      </c>
      <c r="F5" s="37" t="s">
        <v>798</v>
      </c>
      <c r="G5" s="38"/>
      <c r="H5" s="38"/>
      <c r="I5" s="38"/>
    </row>
    <row r="6" spans="1:9" ht="23.1" customHeight="1" x14ac:dyDescent="0.25">
      <c r="A6" s="15" t="s">
        <v>196</v>
      </c>
      <c r="B6" s="37" t="s">
        <v>799</v>
      </c>
      <c r="C6" s="38"/>
    </row>
    <row r="7" spans="1:9" ht="23.1" customHeight="1" x14ac:dyDescent="0.25">
      <c r="A7" s="15" t="s">
        <v>200</v>
      </c>
      <c r="B7" s="37" t="s">
        <v>800</v>
      </c>
      <c r="C7" s="38"/>
    </row>
    <row r="9" spans="1:9" x14ac:dyDescent="0.25">
      <c r="A9" s="33" t="s">
        <v>90</v>
      </c>
      <c r="B9" s="30"/>
      <c r="C9" s="30"/>
      <c r="D9" s="30"/>
      <c r="E9" s="30"/>
      <c r="F9" s="30"/>
      <c r="G9" s="30"/>
      <c r="H9" s="30"/>
      <c r="I9" s="30"/>
    </row>
    <row r="11" spans="1:9" ht="65.099999999999994" customHeight="1" x14ac:dyDescent="0.25">
      <c r="A11" s="9" t="s">
        <v>100</v>
      </c>
      <c r="B11" s="34" t="s">
        <v>801</v>
      </c>
      <c r="C11" s="32"/>
      <c r="D11" s="32"/>
      <c r="E11" s="10"/>
      <c r="F11" s="10"/>
      <c r="G11" s="10"/>
      <c r="H11" s="9" t="s">
        <v>102</v>
      </c>
      <c r="I11" s="11" t="s">
        <v>867</v>
      </c>
    </row>
    <row r="12" spans="1:9" ht="23.1" customHeight="1" x14ac:dyDescent="0.25">
      <c r="A12" s="9" t="s">
        <v>108</v>
      </c>
      <c r="B12" s="34" t="s">
        <v>802</v>
      </c>
      <c r="C12" s="32"/>
      <c r="D12" s="32"/>
      <c r="E12" s="10"/>
      <c r="F12" s="10"/>
      <c r="G12" s="10"/>
      <c r="H12" s="9" t="s">
        <v>110</v>
      </c>
      <c r="I12" s="11" t="s">
        <v>868</v>
      </c>
    </row>
    <row r="13" spans="1:9" ht="42" customHeight="1" x14ac:dyDescent="0.25">
      <c r="A13" s="9" t="s">
        <v>116</v>
      </c>
      <c r="B13" s="34" t="s">
        <v>869</v>
      </c>
      <c r="C13" s="32"/>
      <c r="D13" s="32"/>
      <c r="E13" s="10"/>
      <c r="F13" s="10"/>
      <c r="G13" s="10"/>
      <c r="H13" s="9" t="s">
        <v>117</v>
      </c>
      <c r="I13" s="20">
        <v>46305</v>
      </c>
    </row>
    <row r="14" spans="1:9" ht="23.1" customHeight="1" x14ac:dyDescent="0.25">
      <c r="A14" s="9" t="s">
        <v>118</v>
      </c>
      <c r="B14" s="34" t="s">
        <v>50</v>
      </c>
      <c r="C14" s="32"/>
      <c r="D14" s="32"/>
      <c r="E14" s="32"/>
      <c r="F14" s="32"/>
      <c r="G14" s="32"/>
      <c r="H14" s="32"/>
      <c r="I14" s="32"/>
    </row>
    <row r="15" spans="1:9" ht="23.1" customHeight="1" x14ac:dyDescent="0.25">
      <c r="A15" s="9" t="s">
        <v>119</v>
      </c>
      <c r="B15" s="34" t="s">
        <v>803</v>
      </c>
      <c r="C15" s="32"/>
      <c r="D15" s="32"/>
      <c r="E15" s="32"/>
      <c r="F15" s="32"/>
      <c r="G15" s="32"/>
      <c r="H15" s="32"/>
      <c r="I15" s="32"/>
    </row>
    <row r="17" spans="1:6" ht="24" customHeight="1" x14ac:dyDescent="0.25">
      <c r="A17" s="31" t="s">
        <v>121</v>
      </c>
      <c r="B17" s="31" t="s">
        <v>122</v>
      </c>
      <c r="C17" s="32"/>
      <c r="D17" s="31" t="s">
        <v>123</v>
      </c>
      <c r="E17" s="31" t="s">
        <v>124</v>
      </c>
      <c r="F17" s="31" t="s">
        <v>125</v>
      </c>
    </row>
    <row r="18" spans="1:6" ht="65.099999999999994" customHeight="1" x14ac:dyDescent="0.25">
      <c r="A18" s="32"/>
      <c r="B18" s="5" t="s">
        <v>804</v>
      </c>
      <c r="C18" s="5" t="s">
        <v>805</v>
      </c>
      <c r="D18" s="32"/>
      <c r="E18" s="32"/>
      <c r="F18" s="32"/>
    </row>
    <row r="19" spans="1:6" ht="65.099999999999994" customHeight="1" x14ac:dyDescent="0.25">
      <c r="A19" s="12" t="s">
        <v>806</v>
      </c>
      <c r="B19" s="4" t="s">
        <v>807</v>
      </c>
      <c r="C19" s="4" t="s">
        <v>808</v>
      </c>
      <c r="D19" s="4" t="s">
        <v>809</v>
      </c>
      <c r="E19" s="4">
        <v>201</v>
      </c>
      <c r="F19" s="3" t="s">
        <v>5</v>
      </c>
    </row>
    <row r="20" spans="1:6" ht="65.099999999999994" customHeight="1" x14ac:dyDescent="0.25">
      <c r="A20" s="12" t="s">
        <v>810</v>
      </c>
      <c r="B20" s="4" t="s">
        <v>811</v>
      </c>
      <c r="C20" s="4" t="s">
        <v>808</v>
      </c>
      <c r="D20" s="4" t="s">
        <v>812</v>
      </c>
      <c r="E20" s="4">
        <v>200</v>
      </c>
      <c r="F20" s="3" t="s">
        <v>5</v>
      </c>
    </row>
    <row r="21" spans="1:6" ht="65.099999999999994" customHeight="1" x14ac:dyDescent="0.25">
      <c r="A21" s="12" t="s">
        <v>813</v>
      </c>
      <c r="B21" s="4" t="s">
        <v>814</v>
      </c>
      <c r="C21" s="4" t="s">
        <v>815</v>
      </c>
      <c r="D21" s="4" t="s">
        <v>816</v>
      </c>
      <c r="E21" s="4">
        <v>201</v>
      </c>
      <c r="F21" s="3" t="s">
        <v>5</v>
      </c>
    </row>
    <row r="22" spans="1:6" ht="65.099999999999994" customHeight="1" x14ac:dyDescent="0.25">
      <c r="A22" s="12" t="s">
        <v>817</v>
      </c>
      <c r="B22" s="4" t="s">
        <v>818</v>
      </c>
      <c r="C22" s="4" t="s">
        <v>819</v>
      </c>
      <c r="D22" s="4" t="s">
        <v>820</v>
      </c>
      <c r="E22" s="4">
        <v>400</v>
      </c>
      <c r="F22" s="3" t="s">
        <v>5</v>
      </c>
    </row>
    <row r="23" spans="1:6" ht="86.1" customHeight="1" x14ac:dyDescent="0.25">
      <c r="A23" s="12" t="s">
        <v>821</v>
      </c>
      <c r="B23" s="4" t="s">
        <v>822</v>
      </c>
      <c r="C23" s="4" t="s">
        <v>823</v>
      </c>
      <c r="D23" s="4" t="s">
        <v>824</v>
      </c>
      <c r="E23" s="4">
        <v>200</v>
      </c>
      <c r="F23" s="3" t="s">
        <v>5</v>
      </c>
    </row>
    <row r="24" spans="1:6" ht="65.099999999999994" customHeight="1" x14ac:dyDescent="0.25">
      <c r="A24" s="12" t="s">
        <v>825</v>
      </c>
      <c r="B24" s="4" t="s">
        <v>826</v>
      </c>
      <c r="C24" s="4" t="s">
        <v>808</v>
      </c>
      <c r="D24" s="4" t="s">
        <v>827</v>
      </c>
      <c r="E24" s="4">
        <v>200</v>
      </c>
      <c r="F24" s="3" t="s">
        <v>5</v>
      </c>
    </row>
    <row r="25" spans="1:6" ht="65.099999999999994" customHeight="1" x14ac:dyDescent="0.25">
      <c r="A25" s="12" t="s">
        <v>828</v>
      </c>
      <c r="B25" s="4" t="s">
        <v>829</v>
      </c>
      <c r="C25" s="4" t="s">
        <v>830</v>
      </c>
      <c r="D25" s="4" t="s">
        <v>902</v>
      </c>
      <c r="E25" s="4" t="s">
        <v>901</v>
      </c>
      <c r="F25" s="3" t="s">
        <v>5</v>
      </c>
    </row>
    <row r="26" spans="1:6" ht="65.099999999999994" customHeight="1" x14ac:dyDescent="0.25">
      <c r="A26" s="12" t="s">
        <v>831</v>
      </c>
      <c r="B26" s="4" t="s">
        <v>832</v>
      </c>
      <c r="C26" s="4" t="s">
        <v>833</v>
      </c>
      <c r="D26" s="4" t="s">
        <v>903</v>
      </c>
      <c r="E26" s="4">
        <v>403</v>
      </c>
      <c r="F26" s="3" t="s">
        <v>5</v>
      </c>
    </row>
  </sheetData>
  <mergeCells count="21">
    <mergeCell ref="B17:C17"/>
    <mergeCell ref="F17:F18"/>
    <mergeCell ref="F4:I4"/>
    <mergeCell ref="B14:I14"/>
    <mergeCell ref="A17:A18"/>
    <mergeCell ref="D17:D18"/>
    <mergeCell ref="E17:E18"/>
    <mergeCell ref="B11:D11"/>
    <mergeCell ref="B7:C7"/>
    <mergeCell ref="B15:I15"/>
    <mergeCell ref="B13:D13"/>
    <mergeCell ref="A1:I1"/>
    <mergeCell ref="B12:D12"/>
    <mergeCell ref="B4:C4"/>
    <mergeCell ref="E2:F2"/>
    <mergeCell ref="F3:I3"/>
    <mergeCell ref="A9:I9"/>
    <mergeCell ref="F5:I5"/>
    <mergeCell ref="B6:C6"/>
    <mergeCell ref="B5:C5"/>
    <mergeCell ref="B3:C3"/>
  </mergeCells>
  <conditionalFormatting sqref="F19:F26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"Block"</formula>
    </cfRule>
  </conditionalFormatting>
  <dataValidations count="1">
    <dataValidation type="list" allowBlank="1" sqref="F19:F26" xr:uid="{00000000-0002-0000-0E00-000000000000}">
      <formula1>"Pass,Fail,No run,Block"</formula1>
    </dataValidation>
  </dataValidation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Test Summary</vt:lpstr>
      <vt:lpstr>Defect Summary</vt:lpstr>
      <vt:lpstr>Test Environment</vt:lpstr>
      <vt:lpstr>IT01_ConflictQuery_BVA</vt:lpstr>
      <vt:lpstr>IT02_JpaMapping_EC</vt:lpstr>
      <vt:lpstr>IT03_AuthJwt_EC</vt:lpstr>
      <vt:lpstr>IT04_RoleAccess_DT</vt:lpstr>
      <vt:lpstr>IT05_ErrorContract_EC</vt:lpstr>
      <vt:lpstr>IT06_CreateBookingApi_DT</vt:lpstr>
      <vt:lpstr>IT07_AvailabilityApi_BVA</vt:lpstr>
      <vt:lpstr>IT08_CancelApi_DT</vt:lpstr>
      <vt:lpstr>IT09_PaymentRefundApi_EC</vt:lpstr>
      <vt:lpstr>IT10_CheckInQueue_EC</vt:lpstr>
      <vt:lpstr>IT11_EndToEndFlow_SC</vt:lpstr>
      <vt:lpstr>IT12_AdminConfigImpact_EC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2026-10-09T16:55:01Z</dcterms:created>
  <dcterms:modified xsi:type="dcterms:W3CDTF">2026-10-10T15:18:19Z</dcterms:modified>
</cp:coreProperties>
</file>